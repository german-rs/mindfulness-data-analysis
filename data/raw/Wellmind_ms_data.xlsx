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llMind_Project\Manuscript_Wellmind\Wellmind Manuscript Submmission\Submission_JMIR Mental Health\Revision\Final_Revision\Submission\Dryad_Files\"/>
    </mc:Choice>
  </mc:AlternateContent>
  <xr:revisionPtr revIDLastSave="0" documentId="13_ncr:1_{8A595C14-D2AB-461F-9566-C502EE6AF6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mographics &amp; Behavior" sheetId="2" r:id="rId1"/>
    <sheet name="Demographics, Behavior, Neural" sheetId="3" r:id="rId2"/>
    <sheet name="Ke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3" l="1"/>
  <c r="Q39" i="3"/>
  <c r="R39" i="3"/>
  <c r="S39" i="3"/>
  <c r="T39" i="3"/>
  <c r="P38" i="3"/>
  <c r="Q38" i="3"/>
  <c r="R38" i="3"/>
  <c r="S38" i="3"/>
  <c r="T38" i="3"/>
  <c r="P37" i="3"/>
  <c r="Q37" i="3"/>
  <c r="R37" i="3"/>
  <c r="S37" i="3"/>
  <c r="T37" i="3"/>
  <c r="P36" i="3"/>
  <c r="Q36" i="3"/>
  <c r="R36" i="3"/>
  <c r="S36" i="3"/>
  <c r="T36" i="3"/>
  <c r="H39" i="3"/>
  <c r="I39" i="3"/>
  <c r="J39" i="3"/>
  <c r="K39" i="3"/>
  <c r="L39" i="3"/>
  <c r="H38" i="3"/>
  <c r="I38" i="3"/>
  <c r="J38" i="3"/>
  <c r="K38" i="3"/>
  <c r="L38" i="3"/>
  <c r="L36" i="3"/>
  <c r="H37" i="3"/>
  <c r="I37" i="3"/>
  <c r="J37" i="3"/>
  <c r="K37" i="3"/>
  <c r="L37" i="3"/>
  <c r="H36" i="3"/>
  <c r="I36" i="3"/>
  <c r="J36" i="3"/>
  <c r="K36" i="3"/>
  <c r="X48" i="2"/>
  <c r="Y48" i="2"/>
  <c r="Z48" i="2"/>
  <c r="X47" i="2"/>
  <c r="Y47" i="2"/>
  <c r="Z47" i="2"/>
  <c r="X46" i="2"/>
  <c r="Y46" i="2"/>
  <c r="Z46" i="2"/>
  <c r="X45" i="2"/>
  <c r="Y45" i="2"/>
  <c r="Z45" i="2"/>
  <c r="P48" i="2"/>
  <c r="Q48" i="2"/>
  <c r="R48" i="2"/>
  <c r="P47" i="2"/>
  <c r="Q47" i="2"/>
  <c r="R47" i="2"/>
  <c r="P46" i="2"/>
  <c r="Q46" i="2"/>
  <c r="R46" i="2"/>
  <c r="P45" i="2"/>
  <c r="Q45" i="2"/>
  <c r="R45" i="2"/>
  <c r="H48" i="2"/>
  <c r="I48" i="2"/>
  <c r="J48" i="2"/>
  <c r="H47" i="2"/>
  <c r="I47" i="2"/>
  <c r="J47" i="2"/>
  <c r="H46" i="2"/>
  <c r="I46" i="2"/>
  <c r="J46" i="2"/>
  <c r="H45" i="2"/>
  <c r="I45" i="2"/>
  <c r="J45" i="2"/>
  <c r="F47" i="2"/>
  <c r="AE39" i="3"/>
  <c r="AF39" i="3"/>
  <c r="AG39" i="3"/>
  <c r="AE38" i="3"/>
  <c r="AF38" i="3"/>
  <c r="AG38" i="3"/>
  <c r="AE37" i="3"/>
  <c r="AF37" i="3"/>
  <c r="AG37" i="3"/>
  <c r="AE36" i="3"/>
  <c r="AF36" i="3"/>
  <c r="AG36" i="3"/>
  <c r="E39" i="3"/>
  <c r="F39" i="3"/>
  <c r="G39" i="3"/>
  <c r="M39" i="3"/>
  <c r="N39" i="3"/>
  <c r="O39" i="3"/>
  <c r="U39" i="3"/>
  <c r="V39" i="3"/>
  <c r="Y39" i="3"/>
  <c r="Z39" i="3"/>
  <c r="AA39" i="3"/>
  <c r="AB39" i="3"/>
  <c r="AC39" i="3"/>
  <c r="AD39" i="3"/>
  <c r="E38" i="3"/>
  <c r="F38" i="3"/>
  <c r="G38" i="3"/>
  <c r="M38" i="3"/>
  <c r="N38" i="3"/>
  <c r="O38" i="3"/>
  <c r="U38" i="3"/>
  <c r="V38" i="3"/>
  <c r="Y38" i="3"/>
  <c r="Z38" i="3"/>
  <c r="AA38" i="3"/>
  <c r="AB38" i="3"/>
  <c r="AC38" i="3"/>
  <c r="AD38" i="3"/>
  <c r="E37" i="3"/>
  <c r="F37" i="3"/>
  <c r="G37" i="3"/>
  <c r="M37" i="3"/>
  <c r="N37" i="3"/>
  <c r="O37" i="3"/>
  <c r="U37" i="3"/>
  <c r="V37" i="3"/>
  <c r="Y37" i="3"/>
  <c r="Z37" i="3"/>
  <c r="AA37" i="3"/>
  <c r="AB37" i="3"/>
  <c r="AC37" i="3"/>
  <c r="AD37" i="3"/>
  <c r="E36" i="3"/>
  <c r="F36" i="3"/>
  <c r="G36" i="3"/>
  <c r="M36" i="3"/>
  <c r="N36" i="3"/>
  <c r="O36" i="3"/>
  <c r="U36" i="3"/>
  <c r="V36" i="3"/>
  <c r="Y36" i="3"/>
  <c r="Z36" i="3"/>
  <c r="AA36" i="3"/>
  <c r="AB36" i="3"/>
  <c r="AC36" i="3"/>
  <c r="AD36" i="3"/>
  <c r="E48" i="2"/>
  <c r="F48" i="2"/>
  <c r="G48" i="2"/>
  <c r="K48" i="2"/>
  <c r="L48" i="2"/>
  <c r="M48" i="2"/>
  <c r="N48" i="2"/>
  <c r="O48" i="2"/>
  <c r="S48" i="2"/>
  <c r="T48" i="2"/>
  <c r="U48" i="2"/>
  <c r="V48" i="2"/>
  <c r="W48" i="2"/>
  <c r="AA48" i="2"/>
  <c r="AB48" i="2"/>
  <c r="C48" i="2"/>
  <c r="E46" i="2"/>
  <c r="F46" i="2"/>
  <c r="G46" i="2"/>
  <c r="K46" i="2"/>
  <c r="L46" i="2"/>
  <c r="M46" i="2"/>
  <c r="N46" i="2"/>
  <c r="O46" i="2"/>
  <c r="S46" i="2"/>
  <c r="T46" i="2"/>
  <c r="U46" i="2"/>
  <c r="V46" i="2"/>
  <c r="W46" i="2"/>
  <c r="AA46" i="2"/>
  <c r="AB46" i="2"/>
  <c r="AC46" i="2"/>
  <c r="AD46" i="2"/>
  <c r="C46" i="2"/>
  <c r="AD45" i="2"/>
  <c r="AC45" i="2"/>
  <c r="E47" i="2"/>
  <c r="G47" i="2"/>
  <c r="K47" i="2"/>
  <c r="L47" i="2"/>
  <c r="M47" i="2"/>
  <c r="N47" i="2"/>
  <c r="O47" i="2"/>
  <c r="S47" i="2"/>
  <c r="T47" i="2"/>
  <c r="U47" i="2"/>
  <c r="V47" i="2"/>
  <c r="W47" i="2"/>
  <c r="AA47" i="2"/>
  <c r="AB47" i="2"/>
  <c r="C47" i="2"/>
  <c r="E45" i="2"/>
  <c r="F45" i="2"/>
  <c r="G45" i="2"/>
  <c r="K45" i="2"/>
  <c r="L45" i="2"/>
  <c r="M45" i="2"/>
  <c r="N45" i="2"/>
  <c r="O45" i="2"/>
  <c r="S45" i="2"/>
  <c r="T45" i="2"/>
  <c r="U45" i="2"/>
  <c r="V45" i="2"/>
  <c r="W45" i="2"/>
  <c r="AA45" i="2"/>
  <c r="AB45" i="2"/>
  <c r="C45" i="2"/>
</calcChain>
</file>

<file path=xl/sharedStrings.xml><?xml version="1.0" encoding="utf-8"?>
<sst xmlns="http://schemas.openxmlformats.org/spreadsheetml/2006/main" count="208" uniqueCount="59">
  <si>
    <t>Age</t>
  </si>
  <si>
    <t>Mindlogs Sessions</t>
  </si>
  <si>
    <t>FinalBreathLevels</t>
  </si>
  <si>
    <t>Diff-SelfCompassion</t>
  </si>
  <si>
    <t>Diff-StateMindfulness</t>
  </si>
  <si>
    <t>FPN_pre</t>
  </si>
  <si>
    <t>CON_pre</t>
  </si>
  <si>
    <t>DMN_pre</t>
  </si>
  <si>
    <t>FPN_post</t>
  </si>
  <si>
    <t>CON_post</t>
  </si>
  <si>
    <t>DMN_post</t>
  </si>
  <si>
    <t>MeanWM</t>
  </si>
  <si>
    <t>SD-WM</t>
  </si>
  <si>
    <t>MeanCtrl</t>
  </si>
  <si>
    <t>SD-Ctrl</t>
  </si>
  <si>
    <t>FPN_postpre</t>
  </si>
  <si>
    <t>CON_postpre</t>
  </si>
  <si>
    <t>DMN_postpre</t>
  </si>
  <si>
    <t>Pre- mbiexhaustion</t>
  </si>
  <si>
    <t>Pre- mbiaccomplishment</t>
  </si>
  <si>
    <t>Pre- mbidepersonalization</t>
  </si>
  <si>
    <t>Pre- selfcompassion</t>
  </si>
  <si>
    <t>Pre- Trait Mindfulnessscore</t>
  </si>
  <si>
    <t>Pre- State Mindfulness</t>
  </si>
  <si>
    <t>Post- mbiexhaustion</t>
  </si>
  <si>
    <t>Post- mbiaccomplishment</t>
  </si>
  <si>
    <t>Post- mbidepersonalization</t>
  </si>
  <si>
    <t>Post- selfcompassion</t>
  </si>
  <si>
    <t>Post-  Trait Mindfulnessscore</t>
  </si>
  <si>
    <t>Post- State Mindfulness</t>
  </si>
  <si>
    <t>FollowUp mbiexhaustion</t>
  </si>
  <si>
    <t>FollowUp mbiaccomplishment</t>
  </si>
  <si>
    <t>FollowUp mbidepersonalization</t>
  </si>
  <si>
    <t>FollowUp selfcompassion</t>
  </si>
  <si>
    <t>FollowUp trait mindfulnessscore</t>
  </si>
  <si>
    <t>FollowUp State Mindfulness</t>
  </si>
  <si>
    <t>Gender</t>
  </si>
  <si>
    <t>Gender:</t>
  </si>
  <si>
    <t>1: Male</t>
  </si>
  <si>
    <t>2: Female</t>
  </si>
  <si>
    <t>Group</t>
  </si>
  <si>
    <t>WellMind</t>
  </si>
  <si>
    <t>Control</t>
  </si>
  <si>
    <t>GroupID</t>
  </si>
  <si>
    <t>FollowUp CSR</t>
  </si>
  <si>
    <t>FollowUp USR</t>
  </si>
  <si>
    <t>Post- Trait Mindfulnessscore</t>
  </si>
  <si>
    <t>Post- CSR</t>
  </si>
  <si>
    <t>Post- USR</t>
  </si>
  <si>
    <t>Pre- USR</t>
  </si>
  <si>
    <t>Pre- CSR</t>
  </si>
  <si>
    <t>Abbreviations used in Sheets 1 &amp; 2</t>
  </si>
  <si>
    <t>MBI: Maslach Burnout Inventory</t>
  </si>
  <si>
    <t>CSR: Compassionate Self Responding</t>
  </si>
  <si>
    <t>USR:  Uncompassionate Self Responding</t>
  </si>
  <si>
    <t xml:space="preserve">FPN: Fronto-Parietal Network </t>
  </si>
  <si>
    <t xml:space="preserve">CON: Cingulo-Opercular Network  </t>
  </si>
  <si>
    <t>DMN: Default Mode Network</t>
  </si>
  <si>
    <t>WellMind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</si>
</sst>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20" fontId="2" fillId="0" borderId="0" xfId="0" applyNumberFormat="1" applyFont="1" applyAlignment="1">
      <alignment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"/>
  <sheetViews>
    <sheetView tabSelected="1" workbookViewId="0">
      <selection activeCell="E1" sqref="E1:E1048576"/>
    </sheetView>
  </sheetViews>
  <sheetFormatPr defaultColWidth="8.85546875" defaultRowHeight="15"/>
  <cols>
    <col min="1" max="1" width="11" customWidth="1"/>
    <col min="3" max="4" width="9.140625" customWidth="1"/>
    <col min="5" max="7" width="12.42578125" style="1" customWidth="1"/>
    <col min="8" max="12" width="17.85546875" style="1" customWidth="1"/>
    <col min="13" max="13" width="18.85546875" style="1" customWidth="1"/>
    <col min="14" max="20" width="16.7109375" style="1" customWidth="1"/>
    <col min="21" max="28" width="14.85546875" style="1" customWidth="1"/>
    <col min="29" max="29" width="14.5703125" customWidth="1"/>
    <col min="30" max="30" width="15.28515625" customWidth="1"/>
  </cols>
  <sheetData>
    <row r="1" spans="1:30" s="3" customFormat="1">
      <c r="A1" s="7" t="s">
        <v>40</v>
      </c>
      <c r="B1" s="7" t="s">
        <v>43</v>
      </c>
      <c r="C1" s="3" t="s">
        <v>0</v>
      </c>
      <c r="D1" s="7" t="s">
        <v>36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50</v>
      </c>
      <c r="J1" s="7" t="s">
        <v>49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  <c r="P1" s="7" t="s">
        <v>27</v>
      </c>
      <c r="Q1" t="s">
        <v>47</v>
      </c>
      <c r="R1" t="s">
        <v>48</v>
      </c>
      <c r="S1" s="7" t="s">
        <v>46</v>
      </c>
      <c r="T1" s="7" t="s">
        <v>29</v>
      </c>
      <c r="U1" s="7" t="s">
        <v>30</v>
      </c>
      <c r="V1" s="7" t="s">
        <v>31</v>
      </c>
      <c r="W1" s="7" t="s">
        <v>32</v>
      </c>
      <c r="X1" s="7" t="s">
        <v>33</v>
      </c>
      <c r="Y1" t="s">
        <v>44</v>
      </c>
      <c r="Z1" t="s">
        <v>45</v>
      </c>
      <c r="AA1" s="7" t="s">
        <v>34</v>
      </c>
      <c r="AB1" s="7" t="s">
        <v>35</v>
      </c>
      <c r="AC1" s="3" t="s">
        <v>58</v>
      </c>
      <c r="AD1" s="3" t="s">
        <v>2</v>
      </c>
    </row>
    <row r="2" spans="1:30">
      <c r="A2" s="8" t="s">
        <v>41</v>
      </c>
      <c r="B2" s="1">
        <v>1</v>
      </c>
      <c r="C2">
        <v>26</v>
      </c>
      <c r="D2">
        <v>1</v>
      </c>
      <c r="E2" s="1">
        <v>13</v>
      </c>
      <c r="F2" s="1">
        <v>20</v>
      </c>
      <c r="G2" s="1">
        <v>2</v>
      </c>
      <c r="H2" s="2">
        <v>2.0833333330000001</v>
      </c>
      <c r="I2" s="2">
        <v>2.8333333330000001</v>
      </c>
      <c r="J2" s="2">
        <v>4.6666666670000003</v>
      </c>
      <c r="K2" s="2">
        <v>3.28571428571429</v>
      </c>
      <c r="L2" s="1">
        <v>4</v>
      </c>
      <c r="M2" s="1">
        <v>11</v>
      </c>
      <c r="N2" s="1">
        <v>18</v>
      </c>
      <c r="O2" s="1">
        <v>3</v>
      </c>
      <c r="P2">
        <v>2.3333333333333335</v>
      </c>
      <c r="Q2">
        <v>3</v>
      </c>
      <c r="R2">
        <v>4.333333333333333</v>
      </c>
      <c r="S2" s="2">
        <v>3.0714285710000002</v>
      </c>
      <c r="T2" s="1">
        <v>3</v>
      </c>
      <c r="U2" s="1">
        <v>9</v>
      </c>
      <c r="V2" s="1">
        <v>18</v>
      </c>
      <c r="W2" s="1">
        <v>0</v>
      </c>
      <c r="X2">
        <v>2.75</v>
      </c>
      <c r="Y2">
        <v>3.3333333333333335</v>
      </c>
      <c r="Z2">
        <v>3.8333333333333335</v>
      </c>
      <c r="AA2">
        <v>3.3571428571428572</v>
      </c>
      <c r="AB2" s="1">
        <v>4</v>
      </c>
      <c r="AC2">
        <v>42</v>
      </c>
      <c r="AD2">
        <v>10</v>
      </c>
    </row>
    <row r="3" spans="1:30">
      <c r="A3" s="8" t="s">
        <v>41</v>
      </c>
      <c r="B3" s="1">
        <v>1</v>
      </c>
      <c r="C3">
        <v>27</v>
      </c>
      <c r="D3">
        <v>2</v>
      </c>
      <c r="E3" s="1">
        <v>15</v>
      </c>
      <c r="F3" s="1">
        <v>21</v>
      </c>
      <c r="G3" s="1">
        <v>2</v>
      </c>
      <c r="H3" s="2">
        <v>2.8333333330000001</v>
      </c>
      <c r="I3" s="2">
        <v>3</v>
      </c>
      <c r="J3" s="2">
        <v>3.3333333330000001</v>
      </c>
      <c r="K3" s="2">
        <v>2.5714285714285716</v>
      </c>
      <c r="L3" s="1">
        <v>2.8</v>
      </c>
      <c r="M3" s="1">
        <v>13</v>
      </c>
      <c r="N3" s="1">
        <v>19</v>
      </c>
      <c r="O3" s="1">
        <v>0</v>
      </c>
      <c r="P3">
        <v>3.25</v>
      </c>
      <c r="Q3">
        <v>3.3333333333333335</v>
      </c>
      <c r="R3">
        <v>2.8333333333333335</v>
      </c>
      <c r="S3" s="2">
        <v>2.4285714289999998</v>
      </c>
      <c r="T3" s="1">
        <v>2.4</v>
      </c>
      <c r="U3" s="1">
        <v>26</v>
      </c>
      <c r="V3" s="1">
        <v>11</v>
      </c>
      <c r="W3" s="1">
        <v>8</v>
      </c>
      <c r="X3">
        <v>3</v>
      </c>
      <c r="Y3">
        <v>3</v>
      </c>
      <c r="Z3">
        <v>3</v>
      </c>
      <c r="AA3">
        <v>2.2142857142857144</v>
      </c>
      <c r="AB3" s="1">
        <v>2.2000000000000002</v>
      </c>
      <c r="AC3">
        <v>60</v>
      </c>
      <c r="AD3">
        <v>10</v>
      </c>
    </row>
    <row r="4" spans="1:30">
      <c r="A4" s="8" t="s">
        <v>41</v>
      </c>
      <c r="B4" s="1">
        <v>1</v>
      </c>
      <c r="C4">
        <v>24</v>
      </c>
      <c r="D4">
        <v>1</v>
      </c>
      <c r="E4" s="1">
        <v>18</v>
      </c>
      <c r="F4" s="1">
        <v>20</v>
      </c>
      <c r="G4" s="1">
        <v>5</v>
      </c>
      <c r="H4" s="2">
        <v>2.25</v>
      </c>
      <c r="I4" s="2">
        <v>2.5</v>
      </c>
      <c r="J4" s="2">
        <v>4</v>
      </c>
      <c r="K4" s="2">
        <v>2.7142857142857144</v>
      </c>
      <c r="L4" s="1">
        <v>2.6</v>
      </c>
      <c r="M4" s="1">
        <v>17</v>
      </c>
      <c r="N4" s="1">
        <v>22</v>
      </c>
      <c r="O4" s="1">
        <v>4</v>
      </c>
      <c r="P4">
        <v>2.9166666666666665</v>
      </c>
      <c r="Q4">
        <v>3.1666666666666665</v>
      </c>
      <c r="R4">
        <v>3.3333333333333335</v>
      </c>
      <c r="S4" s="2">
        <v>4.6428571429999996</v>
      </c>
      <c r="T4" s="1">
        <v>4.5999999999999996</v>
      </c>
      <c r="U4" s="1">
        <v>8</v>
      </c>
      <c r="V4" s="1">
        <v>21</v>
      </c>
      <c r="W4" s="1">
        <v>3</v>
      </c>
      <c r="X4">
        <v>4.083333333333333</v>
      </c>
      <c r="Y4">
        <v>4.166666666666667</v>
      </c>
      <c r="Z4">
        <v>2</v>
      </c>
      <c r="AA4">
        <v>4.3571428571428568</v>
      </c>
      <c r="AB4" s="1">
        <v>5</v>
      </c>
      <c r="AC4">
        <v>60</v>
      </c>
      <c r="AD4">
        <v>10</v>
      </c>
    </row>
    <row r="5" spans="1:30">
      <c r="A5" s="8" t="s">
        <v>41</v>
      </c>
      <c r="B5" s="1">
        <v>1</v>
      </c>
      <c r="C5">
        <v>27</v>
      </c>
      <c r="D5">
        <v>1</v>
      </c>
      <c r="E5" s="1">
        <v>15</v>
      </c>
      <c r="F5" s="1">
        <v>24</v>
      </c>
      <c r="G5" s="1">
        <v>5</v>
      </c>
      <c r="H5" s="2">
        <v>2.5833333330000001</v>
      </c>
      <c r="I5" s="2">
        <v>3</v>
      </c>
      <c r="J5" s="2">
        <v>3.8333333330000001</v>
      </c>
      <c r="K5" s="2">
        <v>3.1428571428571428</v>
      </c>
      <c r="L5" s="1">
        <v>2.8</v>
      </c>
      <c r="M5" s="1">
        <v>16</v>
      </c>
      <c r="N5" s="1">
        <v>23</v>
      </c>
      <c r="O5" s="1">
        <v>6</v>
      </c>
      <c r="P5">
        <v>2.1666666666666665</v>
      </c>
      <c r="Q5">
        <v>2.5</v>
      </c>
      <c r="R5">
        <v>4.166666666666667</v>
      </c>
      <c r="S5" s="2">
        <v>3.2857142860000002</v>
      </c>
      <c r="T5" s="1">
        <v>3</v>
      </c>
      <c r="U5" s="1">
        <v>11</v>
      </c>
      <c r="V5" s="1">
        <v>21</v>
      </c>
      <c r="W5" s="1">
        <v>0</v>
      </c>
      <c r="X5">
        <v>2.8333333333333335</v>
      </c>
      <c r="Y5">
        <v>3</v>
      </c>
      <c r="Z5">
        <v>3.3333333333333335</v>
      </c>
      <c r="AA5">
        <v>3.3571428571428572</v>
      </c>
      <c r="AB5" s="1">
        <v>3</v>
      </c>
      <c r="AC5">
        <v>19</v>
      </c>
      <c r="AD5">
        <v>6</v>
      </c>
    </row>
    <row r="6" spans="1:30">
      <c r="A6" s="8" t="s">
        <v>41</v>
      </c>
      <c r="B6" s="1">
        <v>1</v>
      </c>
      <c r="C6">
        <v>32</v>
      </c>
      <c r="D6">
        <v>2</v>
      </c>
      <c r="E6" s="1">
        <v>17</v>
      </c>
      <c r="F6" s="1">
        <v>21</v>
      </c>
      <c r="G6" s="1">
        <v>9</v>
      </c>
      <c r="H6" s="2">
        <v>2.4166666669999999</v>
      </c>
      <c r="I6" s="2">
        <v>2.8333333330000001</v>
      </c>
      <c r="J6" s="2">
        <v>4</v>
      </c>
      <c r="K6" s="2">
        <v>3.6428571428571401</v>
      </c>
      <c r="L6" s="1">
        <v>3.4</v>
      </c>
      <c r="M6" s="1">
        <v>20</v>
      </c>
      <c r="N6" s="1">
        <v>19</v>
      </c>
      <c r="O6" s="1">
        <v>6</v>
      </c>
      <c r="P6">
        <v>2.1666666666666665</v>
      </c>
      <c r="Q6">
        <v>2.1666666666666665</v>
      </c>
      <c r="R6">
        <v>3.8333333333333335</v>
      </c>
      <c r="S6" s="2">
        <v>3.5714285710000002</v>
      </c>
      <c r="T6" s="1">
        <v>3.2</v>
      </c>
      <c r="X6"/>
      <c r="Y6"/>
      <c r="Z6"/>
      <c r="AA6"/>
      <c r="AC6">
        <v>23</v>
      </c>
      <c r="AD6">
        <v>9</v>
      </c>
    </row>
    <row r="7" spans="1:30">
      <c r="A7" s="8" t="s">
        <v>41</v>
      </c>
      <c r="B7" s="1">
        <v>1</v>
      </c>
      <c r="C7">
        <v>25</v>
      </c>
      <c r="D7">
        <v>2</v>
      </c>
      <c r="E7" s="1">
        <v>18</v>
      </c>
      <c r="F7" s="1">
        <v>25</v>
      </c>
      <c r="G7" s="1">
        <v>3</v>
      </c>
      <c r="H7" s="2">
        <v>2.8333333330000001</v>
      </c>
      <c r="I7" s="2">
        <v>3.5</v>
      </c>
      <c r="J7" s="2">
        <v>3.8333333330000001</v>
      </c>
      <c r="K7" s="2">
        <v>3.5714285714285716</v>
      </c>
      <c r="L7" s="1">
        <v>3</v>
      </c>
      <c r="M7" s="1">
        <v>10</v>
      </c>
      <c r="N7" s="1">
        <v>25</v>
      </c>
      <c r="O7" s="1">
        <v>0</v>
      </c>
      <c r="P7">
        <v>3.5</v>
      </c>
      <c r="Q7">
        <v>4.1666666666666696</v>
      </c>
      <c r="R7">
        <v>3.1666666666666665</v>
      </c>
      <c r="S7" s="2">
        <v>4.1428571429999996</v>
      </c>
      <c r="T7" s="1">
        <v>4.2</v>
      </c>
      <c r="U7" s="1">
        <v>13</v>
      </c>
      <c r="V7" s="1">
        <v>24</v>
      </c>
      <c r="W7" s="1">
        <v>2</v>
      </c>
      <c r="X7">
        <v>3.5833333333333335</v>
      </c>
      <c r="Y7">
        <v>4.166666666666667</v>
      </c>
      <c r="Z7">
        <v>3</v>
      </c>
      <c r="AA7">
        <v>3.3571428571428572</v>
      </c>
      <c r="AB7" s="1">
        <v>3.8</v>
      </c>
      <c r="AC7">
        <v>60</v>
      </c>
      <c r="AD7">
        <v>10</v>
      </c>
    </row>
    <row r="8" spans="1:30">
      <c r="A8" s="8" t="s">
        <v>41</v>
      </c>
      <c r="B8" s="1">
        <v>1</v>
      </c>
      <c r="C8">
        <v>33</v>
      </c>
      <c r="D8">
        <v>2</v>
      </c>
      <c r="E8" s="1">
        <v>11</v>
      </c>
      <c r="F8" s="1">
        <v>22</v>
      </c>
      <c r="G8" s="1">
        <v>3</v>
      </c>
      <c r="H8" s="2">
        <v>3.3333333330000001</v>
      </c>
      <c r="I8" s="2">
        <v>4.3333333329999997</v>
      </c>
      <c r="J8" s="2">
        <v>3.6666666669999999</v>
      </c>
      <c r="K8" s="2">
        <v>3.4285714285714284</v>
      </c>
      <c r="L8" s="1">
        <v>3.4</v>
      </c>
      <c r="M8" s="1">
        <v>8</v>
      </c>
      <c r="N8" s="1">
        <v>21</v>
      </c>
      <c r="O8" s="1">
        <v>4</v>
      </c>
      <c r="P8">
        <v>3.6666666666666665</v>
      </c>
      <c r="Q8">
        <v>4</v>
      </c>
      <c r="R8">
        <v>2.6666666666666665</v>
      </c>
      <c r="S8" s="2">
        <v>4</v>
      </c>
      <c r="T8" s="1">
        <v>4</v>
      </c>
      <c r="U8" s="1">
        <v>9</v>
      </c>
      <c r="V8" s="1">
        <v>23</v>
      </c>
      <c r="W8" s="1">
        <v>2</v>
      </c>
      <c r="X8">
        <v>3.5833333333333335</v>
      </c>
      <c r="Y8">
        <v>3.8333333333333335</v>
      </c>
      <c r="Z8">
        <v>2.6666666666666665</v>
      </c>
      <c r="AA8">
        <v>4.0714285714285712</v>
      </c>
      <c r="AB8" s="1">
        <v>3.8</v>
      </c>
      <c r="AC8">
        <v>28</v>
      </c>
      <c r="AD8">
        <v>6</v>
      </c>
    </row>
    <row r="9" spans="1:30">
      <c r="A9" s="8" t="s">
        <v>41</v>
      </c>
      <c r="B9" s="1">
        <v>1</v>
      </c>
      <c r="C9">
        <v>28</v>
      </c>
      <c r="D9">
        <v>2</v>
      </c>
      <c r="E9" s="1">
        <v>14</v>
      </c>
      <c r="F9" s="1">
        <v>25</v>
      </c>
      <c r="G9" s="1">
        <v>5</v>
      </c>
      <c r="H9" s="2">
        <v>3.0833333330000001</v>
      </c>
      <c r="I9" s="2">
        <v>3.8333333330000001</v>
      </c>
      <c r="J9" s="2">
        <v>3.6666666669999999</v>
      </c>
      <c r="K9" s="2">
        <v>2.9285714285714284</v>
      </c>
      <c r="L9" s="1">
        <v>2</v>
      </c>
      <c r="M9" s="1">
        <v>9</v>
      </c>
      <c r="N9" s="1">
        <v>28</v>
      </c>
      <c r="O9" s="1">
        <v>4</v>
      </c>
      <c r="P9">
        <v>4.083333333333333</v>
      </c>
      <c r="Q9">
        <v>4.166666666666667</v>
      </c>
      <c r="R9">
        <v>2</v>
      </c>
      <c r="S9" s="2">
        <v>3.6428571430000001</v>
      </c>
      <c r="T9" s="1">
        <v>3.6</v>
      </c>
      <c r="U9" s="1">
        <v>12</v>
      </c>
      <c r="V9" s="1">
        <v>25</v>
      </c>
      <c r="W9" s="1">
        <v>5</v>
      </c>
      <c r="X9">
        <v>4.083333333333333</v>
      </c>
      <c r="Y9">
        <v>4.333333333333333</v>
      </c>
      <c r="Z9">
        <v>2.1666666666666665</v>
      </c>
      <c r="AA9">
        <v>3.7142857142857144</v>
      </c>
      <c r="AB9" s="1">
        <v>3.6</v>
      </c>
      <c r="AC9">
        <v>60</v>
      </c>
      <c r="AD9">
        <v>10</v>
      </c>
    </row>
    <row r="10" spans="1:30">
      <c r="A10" s="8" t="s">
        <v>41</v>
      </c>
      <c r="B10" s="1">
        <v>1</v>
      </c>
      <c r="C10">
        <v>32</v>
      </c>
      <c r="D10">
        <v>2</v>
      </c>
      <c r="E10" s="1">
        <v>14</v>
      </c>
      <c r="F10" s="1">
        <v>21</v>
      </c>
      <c r="G10" s="1">
        <v>0</v>
      </c>
      <c r="H10" s="2">
        <v>3.0833333330000001</v>
      </c>
      <c r="I10" s="2">
        <v>4</v>
      </c>
      <c r="J10" s="2">
        <v>3.8333333330000001</v>
      </c>
      <c r="K10" s="2">
        <v>4.7142857142857144</v>
      </c>
      <c r="L10" s="1">
        <v>4</v>
      </c>
      <c r="M10" s="1">
        <v>12</v>
      </c>
      <c r="N10" s="1">
        <v>21</v>
      </c>
      <c r="O10" s="1">
        <v>1</v>
      </c>
      <c r="P10">
        <v>3.4166666666666665</v>
      </c>
      <c r="Q10">
        <v>3.6666666666666665</v>
      </c>
      <c r="R10">
        <v>2.8333333333333335</v>
      </c>
      <c r="S10" s="2">
        <v>5.0714285710000002</v>
      </c>
      <c r="T10" s="1">
        <v>5</v>
      </c>
      <c r="U10" s="1">
        <v>12</v>
      </c>
      <c r="V10" s="1">
        <v>21</v>
      </c>
      <c r="W10" s="1">
        <v>3</v>
      </c>
      <c r="X10">
        <v>3.4166666666666665</v>
      </c>
      <c r="Y10">
        <v>4</v>
      </c>
      <c r="Z10">
        <v>3.1666666666666665</v>
      </c>
      <c r="AA10">
        <v>5.5</v>
      </c>
      <c r="AB10" s="1">
        <v>5.4</v>
      </c>
      <c r="AC10">
        <v>28</v>
      </c>
      <c r="AD10">
        <v>9</v>
      </c>
    </row>
    <row r="11" spans="1:30">
      <c r="A11" s="8" t="s">
        <v>41</v>
      </c>
      <c r="B11" s="1">
        <v>1</v>
      </c>
      <c r="C11">
        <v>35</v>
      </c>
      <c r="D11">
        <v>2</v>
      </c>
      <c r="E11" s="1">
        <v>16</v>
      </c>
      <c r="F11" s="1">
        <v>23</v>
      </c>
      <c r="G11" s="1">
        <v>3</v>
      </c>
      <c r="H11" s="2">
        <v>2.5833333330000001</v>
      </c>
      <c r="I11" s="2">
        <v>3.1666666669999999</v>
      </c>
      <c r="J11" s="2">
        <v>4</v>
      </c>
      <c r="K11" s="2">
        <v>1.9285714285714286</v>
      </c>
      <c r="L11" s="1">
        <v>1.8</v>
      </c>
      <c r="M11" s="1">
        <v>21</v>
      </c>
      <c r="N11" s="1">
        <v>21</v>
      </c>
      <c r="O11" s="1">
        <v>6</v>
      </c>
      <c r="P11">
        <v>3</v>
      </c>
      <c r="Q11">
        <v>3.6666666666666665</v>
      </c>
      <c r="R11">
        <v>3.6666666666666665</v>
      </c>
      <c r="S11" s="2">
        <v>2.7857142860000002</v>
      </c>
      <c r="T11" s="1">
        <v>3.4</v>
      </c>
      <c r="X11"/>
      <c r="Y11"/>
      <c r="Z11"/>
      <c r="AA11"/>
      <c r="AC11">
        <v>60</v>
      </c>
      <c r="AD11">
        <v>9</v>
      </c>
    </row>
    <row r="12" spans="1:30">
      <c r="A12" s="8" t="s">
        <v>41</v>
      </c>
      <c r="B12" s="1">
        <v>1</v>
      </c>
      <c r="C12">
        <v>27</v>
      </c>
      <c r="D12">
        <v>1</v>
      </c>
      <c r="E12" s="1">
        <v>24</v>
      </c>
      <c r="F12" s="1">
        <v>15</v>
      </c>
      <c r="G12" s="1">
        <v>11</v>
      </c>
      <c r="H12" s="2">
        <v>2.5</v>
      </c>
      <c r="I12" s="2">
        <v>2.6666666669999999</v>
      </c>
      <c r="J12" s="2">
        <v>3.6666666669999999</v>
      </c>
      <c r="K12" s="2">
        <v>2.78571428571429</v>
      </c>
      <c r="L12" s="1">
        <v>2.4</v>
      </c>
      <c r="M12" s="1">
        <v>24</v>
      </c>
      <c r="N12" s="1">
        <v>14</v>
      </c>
      <c r="O12" s="1">
        <v>13</v>
      </c>
      <c r="P12">
        <v>2.75</v>
      </c>
      <c r="Q12">
        <v>3.1666666666666665</v>
      </c>
      <c r="R12">
        <v>3.6666666666666665</v>
      </c>
      <c r="S12" s="2">
        <v>3.1428571430000001</v>
      </c>
      <c r="T12" s="1">
        <v>3</v>
      </c>
      <c r="U12" s="1">
        <v>27</v>
      </c>
      <c r="V12" s="1">
        <v>15</v>
      </c>
      <c r="W12" s="1">
        <v>15</v>
      </c>
      <c r="X12">
        <v>2.9166666666666665</v>
      </c>
      <c r="Y12">
        <v>3</v>
      </c>
      <c r="Z12">
        <v>3.1666666666666665</v>
      </c>
      <c r="AA12">
        <v>3.3571428571428572</v>
      </c>
      <c r="AB12" s="1">
        <v>2.8</v>
      </c>
      <c r="AC12">
        <v>16</v>
      </c>
      <c r="AD12">
        <v>6</v>
      </c>
    </row>
    <row r="13" spans="1:30">
      <c r="A13" s="8" t="s">
        <v>41</v>
      </c>
      <c r="B13" s="1">
        <v>1</v>
      </c>
      <c r="C13">
        <v>28</v>
      </c>
      <c r="D13">
        <v>2</v>
      </c>
      <c r="E13" s="1">
        <v>14</v>
      </c>
      <c r="F13" s="1">
        <v>25</v>
      </c>
      <c r="G13" s="1">
        <v>4</v>
      </c>
      <c r="H13" s="2">
        <v>2.1666666669999999</v>
      </c>
      <c r="I13" s="2">
        <v>2</v>
      </c>
      <c r="J13" s="2">
        <v>3.6666666669999999</v>
      </c>
      <c r="K13" s="2">
        <v>3.0714285714285716</v>
      </c>
      <c r="L13" s="1">
        <v>3.4</v>
      </c>
      <c r="M13" s="1">
        <v>2</v>
      </c>
      <c r="N13" s="1">
        <v>31</v>
      </c>
      <c r="O13" s="1">
        <v>0</v>
      </c>
      <c r="P13">
        <v>3.8333333333333335</v>
      </c>
      <c r="Q13">
        <v>3.8333333333333335</v>
      </c>
      <c r="R13">
        <v>2.1666666666666665</v>
      </c>
      <c r="S13" s="2">
        <v>3.3571428569999999</v>
      </c>
      <c r="T13" s="1">
        <v>3.8</v>
      </c>
      <c r="U13" s="1">
        <v>0</v>
      </c>
      <c r="V13" s="1">
        <v>28</v>
      </c>
      <c r="W13" s="1">
        <v>0</v>
      </c>
      <c r="X13">
        <v>3.75</v>
      </c>
      <c r="Y13">
        <v>4</v>
      </c>
      <c r="Z13">
        <v>2.5</v>
      </c>
      <c r="AA13">
        <v>3.9285714285714284</v>
      </c>
      <c r="AB13" s="1">
        <v>4.8</v>
      </c>
      <c r="AC13">
        <v>28</v>
      </c>
      <c r="AD13">
        <v>9</v>
      </c>
    </row>
    <row r="14" spans="1:30">
      <c r="A14" s="8" t="s">
        <v>41</v>
      </c>
      <c r="B14" s="1">
        <v>1</v>
      </c>
      <c r="C14">
        <v>26</v>
      </c>
      <c r="D14">
        <v>1</v>
      </c>
      <c r="E14" s="1">
        <v>22</v>
      </c>
      <c r="F14" s="1">
        <v>20</v>
      </c>
      <c r="G14" s="1">
        <v>12</v>
      </c>
      <c r="H14" s="2">
        <v>3.3333333330000001</v>
      </c>
      <c r="I14" s="2">
        <v>3.5</v>
      </c>
      <c r="J14" s="2">
        <v>2.8333333330000001</v>
      </c>
      <c r="K14" s="2">
        <v>3.0714285714285716</v>
      </c>
      <c r="L14" s="1">
        <v>2.2000000000000002</v>
      </c>
      <c r="M14" s="1">
        <v>23</v>
      </c>
      <c r="N14" s="1">
        <v>27</v>
      </c>
      <c r="O14" s="1">
        <v>6</v>
      </c>
      <c r="P14">
        <v>3.5</v>
      </c>
      <c r="Q14">
        <v>4</v>
      </c>
      <c r="R14">
        <v>3</v>
      </c>
      <c r="S14" s="2">
        <v>3.9285714289999998</v>
      </c>
      <c r="T14" s="1">
        <v>4</v>
      </c>
      <c r="U14" s="1">
        <v>22</v>
      </c>
      <c r="V14" s="1">
        <v>24</v>
      </c>
      <c r="W14" s="1">
        <v>8</v>
      </c>
      <c r="X14">
        <v>2.9166666666666665</v>
      </c>
      <c r="Y14">
        <v>3.6666666666666665</v>
      </c>
      <c r="Z14">
        <v>3.8333333333333335</v>
      </c>
      <c r="AA14">
        <v>4.7857142857142856</v>
      </c>
      <c r="AB14" s="1">
        <v>5</v>
      </c>
      <c r="AC14">
        <v>31</v>
      </c>
      <c r="AD14">
        <v>10</v>
      </c>
    </row>
    <row r="15" spans="1:30">
      <c r="A15" s="8" t="s">
        <v>41</v>
      </c>
      <c r="B15" s="1">
        <v>1</v>
      </c>
      <c r="C15">
        <v>28</v>
      </c>
      <c r="D15">
        <v>1</v>
      </c>
      <c r="E15" s="1">
        <v>15</v>
      </c>
      <c r="F15" s="1">
        <v>22</v>
      </c>
      <c r="G15" s="1">
        <v>7</v>
      </c>
      <c r="H15" s="2">
        <v>2.5</v>
      </c>
      <c r="I15" s="2">
        <v>2.8333333330000001</v>
      </c>
      <c r="J15" s="2">
        <v>3.8333333330000001</v>
      </c>
      <c r="K15" s="2">
        <v>2.1428571428571428</v>
      </c>
      <c r="L15" s="1">
        <v>1.6</v>
      </c>
      <c r="M15" s="1">
        <v>9</v>
      </c>
      <c r="N15" s="1">
        <v>22</v>
      </c>
      <c r="O15" s="1">
        <v>5</v>
      </c>
      <c r="P15">
        <v>2.9166666666666665</v>
      </c>
      <c r="Q15">
        <v>3.5</v>
      </c>
      <c r="R15">
        <v>3.6666666666666665</v>
      </c>
      <c r="S15" s="2">
        <v>1.7857142859999999</v>
      </c>
      <c r="T15" s="1">
        <v>1.2</v>
      </c>
      <c r="U15" s="1">
        <v>21</v>
      </c>
      <c r="V15" s="1">
        <v>18</v>
      </c>
      <c r="W15" s="1">
        <v>10</v>
      </c>
      <c r="X15">
        <v>2.6666666666666665</v>
      </c>
      <c r="Y15">
        <v>3.1666666666666665</v>
      </c>
      <c r="Z15">
        <v>3.8333333333333335</v>
      </c>
      <c r="AA15">
        <v>1.8571428571428572</v>
      </c>
      <c r="AB15" s="1">
        <v>1.2</v>
      </c>
      <c r="AC15">
        <v>12</v>
      </c>
      <c r="AD15">
        <v>7</v>
      </c>
    </row>
    <row r="16" spans="1:30">
      <c r="A16" s="8" t="s">
        <v>41</v>
      </c>
      <c r="B16" s="1">
        <v>1</v>
      </c>
      <c r="C16">
        <v>26</v>
      </c>
      <c r="D16">
        <v>2</v>
      </c>
      <c r="E16" s="1">
        <v>25</v>
      </c>
      <c r="F16" s="1">
        <v>23</v>
      </c>
      <c r="G16" s="1">
        <v>4</v>
      </c>
      <c r="H16" s="2">
        <v>2</v>
      </c>
      <c r="I16" s="2">
        <v>2.6666666669999999</v>
      </c>
      <c r="J16" s="2">
        <v>4.6666666670000003</v>
      </c>
      <c r="K16" s="2">
        <v>3.5714285714285716</v>
      </c>
      <c r="L16" s="1">
        <v>2.6</v>
      </c>
      <c r="M16" s="1">
        <v>20</v>
      </c>
      <c r="N16" s="1">
        <v>19</v>
      </c>
      <c r="O16" s="1">
        <v>2</v>
      </c>
      <c r="P16">
        <v>2.4166666666666665</v>
      </c>
      <c r="Q16">
        <v>3.3333333333333335</v>
      </c>
      <c r="R16">
        <v>4.5</v>
      </c>
      <c r="S16" s="2">
        <v>3.5714285710000002</v>
      </c>
      <c r="T16" s="1">
        <v>2.6</v>
      </c>
      <c r="U16" s="1">
        <v>21</v>
      </c>
      <c r="V16" s="1">
        <v>23</v>
      </c>
      <c r="W16" s="1">
        <v>6</v>
      </c>
      <c r="X16">
        <v>2.5</v>
      </c>
      <c r="Y16">
        <v>3.3333333333333335</v>
      </c>
      <c r="Z16">
        <v>4.333333333333333</v>
      </c>
      <c r="AA16">
        <v>3.5</v>
      </c>
      <c r="AB16" s="1">
        <v>2.6</v>
      </c>
      <c r="AC16">
        <v>56</v>
      </c>
      <c r="AD16">
        <v>10</v>
      </c>
    </row>
    <row r="17" spans="1:30">
      <c r="A17" s="8" t="s">
        <v>41</v>
      </c>
      <c r="B17" s="1">
        <v>1</v>
      </c>
      <c r="C17">
        <v>23</v>
      </c>
      <c r="D17">
        <v>2</v>
      </c>
      <c r="E17" s="1">
        <v>17</v>
      </c>
      <c r="F17" s="1">
        <v>19</v>
      </c>
      <c r="G17" s="1">
        <v>0</v>
      </c>
      <c r="H17" s="2">
        <v>3.1666666669999999</v>
      </c>
      <c r="I17" s="2">
        <v>2.8333333330000001</v>
      </c>
      <c r="J17" s="2">
        <v>2.5</v>
      </c>
      <c r="K17" s="2">
        <v>3.5714285714285716</v>
      </c>
      <c r="L17" s="1">
        <v>3</v>
      </c>
      <c r="M17" s="1">
        <v>15</v>
      </c>
      <c r="N17" s="1">
        <v>21</v>
      </c>
      <c r="O17" s="1">
        <v>0</v>
      </c>
      <c r="P17">
        <v>3.75</v>
      </c>
      <c r="Q17">
        <v>3.3333333333333335</v>
      </c>
      <c r="R17">
        <v>1.8333333333333333</v>
      </c>
      <c r="S17" s="2">
        <v>3.3571428569999999</v>
      </c>
      <c r="T17" s="1">
        <v>3</v>
      </c>
      <c r="U17" s="1">
        <v>15</v>
      </c>
      <c r="V17" s="1">
        <v>19</v>
      </c>
      <c r="W17" s="1">
        <v>0</v>
      </c>
      <c r="X17">
        <v>2.5</v>
      </c>
      <c r="Y17">
        <v>2.5</v>
      </c>
      <c r="Z17">
        <v>3.5</v>
      </c>
      <c r="AA17">
        <v>3.2142857142857144</v>
      </c>
      <c r="AB17" s="1">
        <v>2.6</v>
      </c>
      <c r="AC17">
        <v>27</v>
      </c>
      <c r="AD17">
        <v>9</v>
      </c>
    </row>
    <row r="18" spans="1:30">
      <c r="A18" s="8" t="s">
        <v>41</v>
      </c>
      <c r="B18" s="1">
        <v>1</v>
      </c>
      <c r="C18">
        <v>24</v>
      </c>
      <c r="D18">
        <v>2</v>
      </c>
      <c r="E18" s="1">
        <v>18</v>
      </c>
      <c r="F18" s="1">
        <v>27</v>
      </c>
      <c r="G18" s="1">
        <v>5</v>
      </c>
      <c r="H18" s="2">
        <v>3.1666666669999999</v>
      </c>
      <c r="I18" s="2">
        <v>4</v>
      </c>
      <c r="J18" s="2">
        <v>3.6666666669999999</v>
      </c>
      <c r="K18" s="2">
        <v>3.4285714285714302</v>
      </c>
      <c r="L18" s="1">
        <v>3.4</v>
      </c>
      <c r="M18" s="1">
        <v>16</v>
      </c>
      <c r="N18" s="1">
        <v>21</v>
      </c>
      <c r="O18" s="1">
        <v>7</v>
      </c>
      <c r="P18">
        <v>3</v>
      </c>
      <c r="Q18">
        <v>3</v>
      </c>
      <c r="R18">
        <v>3</v>
      </c>
      <c r="S18" s="2">
        <v>3.7857142860000002</v>
      </c>
      <c r="T18" s="1">
        <v>4</v>
      </c>
      <c r="U18" s="1">
        <v>13</v>
      </c>
      <c r="V18" s="1">
        <v>15</v>
      </c>
      <c r="W18" s="1">
        <v>5</v>
      </c>
      <c r="X18">
        <v>3.1666666666666665</v>
      </c>
      <c r="Y18">
        <v>3.5</v>
      </c>
      <c r="Z18">
        <v>3.1666666666666665</v>
      </c>
      <c r="AA18">
        <v>3.3571428571428572</v>
      </c>
      <c r="AB18" s="1">
        <v>3.4</v>
      </c>
      <c r="AC18">
        <v>47</v>
      </c>
      <c r="AD18">
        <v>8</v>
      </c>
    </row>
    <row r="19" spans="1:30">
      <c r="A19" s="8" t="s">
        <v>41</v>
      </c>
      <c r="B19" s="1">
        <v>1</v>
      </c>
      <c r="C19">
        <v>28</v>
      </c>
      <c r="D19">
        <v>2</v>
      </c>
      <c r="E19" s="1">
        <v>20</v>
      </c>
      <c r="F19" s="1">
        <v>14</v>
      </c>
      <c r="G19" s="1">
        <v>10</v>
      </c>
      <c r="H19" s="2">
        <v>1.9166666670000001</v>
      </c>
      <c r="I19" s="2">
        <v>2</v>
      </c>
      <c r="J19" s="2">
        <v>4.1666666670000003</v>
      </c>
      <c r="K19" s="2">
        <v>2.6428571428571428</v>
      </c>
      <c r="L19" s="1">
        <v>2.2000000000000002</v>
      </c>
      <c r="M19" s="1">
        <v>19</v>
      </c>
      <c r="N19" s="1">
        <v>17</v>
      </c>
      <c r="O19" s="1">
        <v>1</v>
      </c>
      <c r="P19">
        <v>2.5</v>
      </c>
      <c r="Q19">
        <v>3.5</v>
      </c>
      <c r="R19">
        <v>4.5</v>
      </c>
      <c r="S19" s="2">
        <v>2.9285714289999998</v>
      </c>
      <c r="T19" s="1">
        <v>2.6</v>
      </c>
      <c r="U19" s="1">
        <v>19</v>
      </c>
      <c r="V19" s="1">
        <v>17</v>
      </c>
      <c r="W19" s="1">
        <v>7</v>
      </c>
      <c r="X19">
        <v>3.0833333333333335</v>
      </c>
      <c r="Y19">
        <v>3.1666666666666665</v>
      </c>
      <c r="Z19">
        <v>3</v>
      </c>
      <c r="AA19">
        <v>3.0714285714285716</v>
      </c>
      <c r="AB19" s="1">
        <v>2.8</v>
      </c>
      <c r="AC19">
        <v>56</v>
      </c>
      <c r="AD19">
        <v>10</v>
      </c>
    </row>
    <row r="20" spans="1:30">
      <c r="A20" s="8" t="s">
        <v>41</v>
      </c>
      <c r="B20" s="1">
        <v>1</v>
      </c>
      <c r="C20">
        <v>29</v>
      </c>
      <c r="D20">
        <v>1</v>
      </c>
      <c r="E20" s="1">
        <v>11</v>
      </c>
      <c r="F20" s="1">
        <v>15</v>
      </c>
      <c r="G20" s="1">
        <v>7</v>
      </c>
      <c r="H20" s="2">
        <v>2.8333333330000001</v>
      </c>
      <c r="I20" s="2">
        <v>2.6666666669999999</v>
      </c>
      <c r="J20" s="2">
        <v>3</v>
      </c>
      <c r="K20" s="2">
        <v>3</v>
      </c>
      <c r="L20" s="1">
        <v>3.6</v>
      </c>
      <c r="M20" s="1">
        <v>20</v>
      </c>
      <c r="N20" s="1">
        <v>19</v>
      </c>
      <c r="O20" s="1">
        <v>12</v>
      </c>
      <c r="P20">
        <v>3.1666666666666665</v>
      </c>
      <c r="Q20">
        <v>3</v>
      </c>
      <c r="R20">
        <v>2.6666666666666665</v>
      </c>
      <c r="S20" s="2">
        <v>3.0714285710000002</v>
      </c>
      <c r="T20" s="1">
        <v>3.6</v>
      </c>
      <c r="U20" s="1">
        <v>26</v>
      </c>
      <c r="V20" s="1">
        <v>14</v>
      </c>
      <c r="W20" s="1">
        <v>13</v>
      </c>
      <c r="X20">
        <v>2.6666666666666665</v>
      </c>
      <c r="Y20">
        <v>2.8333333333333335</v>
      </c>
      <c r="Z20">
        <v>3.5</v>
      </c>
      <c r="AA20">
        <v>2.3571428571428572</v>
      </c>
      <c r="AB20" s="1">
        <v>2.6</v>
      </c>
      <c r="AC20">
        <v>59</v>
      </c>
      <c r="AD20">
        <v>10</v>
      </c>
    </row>
    <row r="21" spans="1:30">
      <c r="A21" s="8" t="s">
        <v>41</v>
      </c>
      <c r="B21" s="1">
        <v>1</v>
      </c>
      <c r="C21">
        <v>32</v>
      </c>
      <c r="D21">
        <v>1</v>
      </c>
      <c r="E21" s="1">
        <v>7</v>
      </c>
      <c r="F21" s="1">
        <v>20</v>
      </c>
      <c r="G21" s="1">
        <v>7</v>
      </c>
      <c r="H21" s="2">
        <v>4</v>
      </c>
      <c r="I21" s="2">
        <v>4.3333333329999997</v>
      </c>
      <c r="J21" s="2">
        <v>2.3333333330000001</v>
      </c>
      <c r="K21" s="2">
        <v>3.78571428571429</v>
      </c>
      <c r="L21" s="1">
        <v>4.2</v>
      </c>
      <c r="M21" s="1">
        <v>8</v>
      </c>
      <c r="N21" s="1">
        <v>23</v>
      </c>
      <c r="O21" s="1">
        <v>4</v>
      </c>
      <c r="P21">
        <v>3.25</v>
      </c>
      <c r="Q21">
        <v>3.3333333333333335</v>
      </c>
      <c r="R21">
        <v>2.8333333333333335</v>
      </c>
      <c r="S21" s="2">
        <v>3.5</v>
      </c>
      <c r="T21" s="1">
        <v>3.8</v>
      </c>
      <c r="U21" s="1">
        <v>11</v>
      </c>
      <c r="V21" s="1">
        <v>18</v>
      </c>
      <c r="W21" s="1">
        <v>10</v>
      </c>
      <c r="X21">
        <v>3.9166666666666665</v>
      </c>
      <c r="Y21">
        <v>4.166666666666667</v>
      </c>
      <c r="Z21">
        <v>2.3333333333333335</v>
      </c>
      <c r="AA21">
        <v>3.3571428571428572</v>
      </c>
      <c r="AB21" s="1">
        <v>3.2</v>
      </c>
      <c r="AC21">
        <v>45</v>
      </c>
      <c r="AD21">
        <v>10</v>
      </c>
    </row>
    <row r="22" spans="1:30">
      <c r="A22" s="8" t="s">
        <v>41</v>
      </c>
      <c r="B22" s="1">
        <v>1</v>
      </c>
      <c r="C22">
        <v>26</v>
      </c>
      <c r="D22">
        <v>2</v>
      </c>
      <c r="E22" s="1">
        <v>22</v>
      </c>
      <c r="F22" s="1">
        <v>21</v>
      </c>
      <c r="G22" s="1">
        <v>9</v>
      </c>
      <c r="H22" s="2">
        <v>2.9166666669999999</v>
      </c>
      <c r="I22" s="2">
        <v>3.6666666669999999</v>
      </c>
      <c r="J22" s="2">
        <v>3.8333333330000001</v>
      </c>
      <c r="K22" s="2">
        <v>4.3571428571428568</v>
      </c>
      <c r="L22" s="1">
        <v>4.2</v>
      </c>
      <c r="M22" s="1">
        <v>22</v>
      </c>
      <c r="N22" s="1">
        <v>15</v>
      </c>
      <c r="O22" s="1">
        <v>10</v>
      </c>
      <c r="P22">
        <v>2.5833333333333335</v>
      </c>
      <c r="Q22">
        <v>2.5</v>
      </c>
      <c r="R22">
        <v>3.3333333333333335</v>
      </c>
      <c r="S22" s="2">
        <v>3.3571428569999999</v>
      </c>
      <c r="T22" s="1">
        <v>3.8</v>
      </c>
      <c r="U22" s="1">
        <v>26</v>
      </c>
      <c r="V22" s="1">
        <v>18</v>
      </c>
      <c r="W22" s="1">
        <v>9</v>
      </c>
      <c r="X22">
        <v>2.25</v>
      </c>
      <c r="Y22">
        <v>2.3333333333333335</v>
      </c>
      <c r="Z22">
        <v>3.8333333333333335</v>
      </c>
      <c r="AA22">
        <v>3.7142857142857144</v>
      </c>
      <c r="AB22" s="1">
        <v>4</v>
      </c>
      <c r="AC22">
        <v>17</v>
      </c>
      <c r="AD22">
        <v>1</v>
      </c>
    </row>
    <row r="23" spans="1:30">
      <c r="A23" s="8" t="s">
        <v>41</v>
      </c>
      <c r="B23" s="1">
        <v>1</v>
      </c>
      <c r="C23">
        <v>28</v>
      </c>
      <c r="D23">
        <v>2</v>
      </c>
      <c r="E23" s="1">
        <v>12</v>
      </c>
      <c r="F23" s="1">
        <v>28</v>
      </c>
      <c r="G23" s="1">
        <v>5</v>
      </c>
      <c r="H23" s="2">
        <v>1.5833333329999999</v>
      </c>
      <c r="I23" s="2">
        <v>2</v>
      </c>
      <c r="J23" s="2">
        <v>4.8333333329999997</v>
      </c>
      <c r="K23" s="2">
        <v>2.5714285714285716</v>
      </c>
      <c r="L23" s="1">
        <v>2</v>
      </c>
      <c r="M23" s="1">
        <v>15</v>
      </c>
      <c r="N23" s="1">
        <v>30</v>
      </c>
      <c r="O23" s="1">
        <v>5</v>
      </c>
      <c r="P23">
        <v>2.1666666666666665</v>
      </c>
      <c r="Q23">
        <v>3</v>
      </c>
      <c r="R23">
        <v>4.666666666666667</v>
      </c>
      <c r="S23" s="2">
        <v>2.6428571430000001</v>
      </c>
      <c r="T23" s="1">
        <v>2.4</v>
      </c>
      <c r="U23" s="1">
        <v>17</v>
      </c>
      <c r="V23" s="1">
        <v>23</v>
      </c>
      <c r="W23" s="1">
        <v>5</v>
      </c>
      <c r="X23">
        <v>3.1666666666666665</v>
      </c>
      <c r="Y23">
        <v>4</v>
      </c>
      <c r="Z23">
        <v>3.6666666666666665</v>
      </c>
      <c r="AA23">
        <v>2.8571428571428572</v>
      </c>
      <c r="AB23" s="1">
        <v>2.4</v>
      </c>
      <c r="AC23">
        <v>60</v>
      </c>
      <c r="AD23">
        <v>10</v>
      </c>
    </row>
    <row r="24" spans="1:30">
      <c r="A24" s="8" t="s">
        <v>42</v>
      </c>
      <c r="B24" s="1">
        <v>2</v>
      </c>
      <c r="C24">
        <v>34</v>
      </c>
      <c r="D24">
        <v>1</v>
      </c>
      <c r="E24" s="1">
        <v>11</v>
      </c>
      <c r="F24" s="1">
        <v>41</v>
      </c>
      <c r="G24" s="1">
        <v>23</v>
      </c>
      <c r="H24" s="1">
        <v>2.5833333330000001</v>
      </c>
      <c r="I24" s="1">
        <v>3.5</v>
      </c>
      <c r="J24" s="1">
        <v>4.3333333329999997</v>
      </c>
      <c r="K24">
        <v>3.2142857142857144</v>
      </c>
      <c r="L24">
        <v>3.4</v>
      </c>
      <c r="M24" s="1">
        <v>13</v>
      </c>
      <c r="N24" s="1">
        <v>45</v>
      </c>
      <c r="O24" s="1">
        <v>20</v>
      </c>
      <c r="P24">
        <v>3.4166666666666665</v>
      </c>
      <c r="Q24">
        <v>3.8333333333333335</v>
      </c>
      <c r="R24">
        <v>3</v>
      </c>
      <c r="S24" s="1">
        <v>3.5714285714285716</v>
      </c>
      <c r="T24" s="1">
        <v>3.6</v>
      </c>
      <c r="U24" s="1">
        <v>12</v>
      </c>
      <c r="V24" s="1">
        <v>27</v>
      </c>
      <c r="W24" s="1">
        <v>11</v>
      </c>
      <c r="X24">
        <v>3.25</v>
      </c>
      <c r="Y24">
        <v>4.166666666666667</v>
      </c>
      <c r="Z24">
        <v>3.6666666666666665</v>
      </c>
      <c r="AA24" s="1">
        <v>3.2142857139999998</v>
      </c>
      <c r="AB24" s="1">
        <v>3.4</v>
      </c>
    </row>
    <row r="25" spans="1:30">
      <c r="A25" s="8" t="s">
        <v>42</v>
      </c>
      <c r="B25" s="1">
        <v>2</v>
      </c>
      <c r="C25">
        <v>27</v>
      </c>
      <c r="D25">
        <v>2</v>
      </c>
      <c r="E25" s="1">
        <v>35</v>
      </c>
      <c r="F25" s="1">
        <v>38</v>
      </c>
      <c r="G25" s="1">
        <v>9</v>
      </c>
      <c r="H25" s="1">
        <v>2.1666666669999999</v>
      </c>
      <c r="I25" s="1">
        <v>2.6666666669999999</v>
      </c>
      <c r="J25" s="1">
        <v>4.3333333329999997</v>
      </c>
      <c r="K25">
        <v>1.7857142857142858</v>
      </c>
      <c r="L25">
        <v>1.6</v>
      </c>
      <c r="M25" s="1">
        <v>30</v>
      </c>
      <c r="N25" s="1">
        <v>31</v>
      </c>
      <c r="O25" s="1">
        <v>17</v>
      </c>
      <c r="P25">
        <v>2.5833333333333335</v>
      </c>
      <c r="Q25">
        <v>3.1666666666666665</v>
      </c>
      <c r="R25">
        <v>4</v>
      </c>
      <c r="S25" s="1">
        <v>2.7142857142857144</v>
      </c>
      <c r="T25" s="1">
        <v>2.4</v>
      </c>
      <c r="X25">
        <v>2.5</v>
      </c>
      <c r="Y25">
        <v>2.8333333333333335</v>
      </c>
      <c r="Z25">
        <v>3.8333333333333335</v>
      </c>
      <c r="AA25" s="1">
        <v>3.0714285710000002</v>
      </c>
      <c r="AB25" s="1">
        <v>3</v>
      </c>
    </row>
    <row r="26" spans="1:30">
      <c r="A26" s="8" t="s">
        <v>42</v>
      </c>
      <c r="B26" s="1">
        <v>2</v>
      </c>
      <c r="C26">
        <v>28</v>
      </c>
      <c r="D26">
        <v>1</v>
      </c>
      <c r="E26" s="1">
        <v>22</v>
      </c>
      <c r="F26" s="1">
        <v>38</v>
      </c>
      <c r="G26" s="1">
        <v>11</v>
      </c>
      <c r="H26" s="1">
        <v>3.6666666669999999</v>
      </c>
      <c r="I26" s="1">
        <v>4.1666666670000003</v>
      </c>
      <c r="J26" s="1">
        <v>2.8333333330000001</v>
      </c>
      <c r="K26">
        <v>3.2857142857142856</v>
      </c>
      <c r="L26">
        <v>4.4000000000000004</v>
      </c>
      <c r="M26" s="1">
        <v>29</v>
      </c>
      <c r="N26" s="1">
        <v>40</v>
      </c>
      <c r="O26" s="1">
        <v>17</v>
      </c>
      <c r="P26">
        <v>4.166666666666667</v>
      </c>
      <c r="Q26">
        <v>4.5</v>
      </c>
      <c r="R26">
        <v>2.1666666666666665</v>
      </c>
      <c r="S26" s="1">
        <v>2.7142857142857144</v>
      </c>
      <c r="T26" s="1">
        <v>3.2</v>
      </c>
      <c r="U26" s="1">
        <v>23</v>
      </c>
      <c r="V26" s="1">
        <v>23</v>
      </c>
      <c r="W26" s="1">
        <v>6</v>
      </c>
      <c r="X26">
        <v>3.4166666666666665</v>
      </c>
      <c r="Y26">
        <v>4.166666666666667</v>
      </c>
      <c r="Z26">
        <v>3.3333333333333335</v>
      </c>
      <c r="AA26" s="1">
        <v>2.8571428569999999</v>
      </c>
      <c r="AB26" s="1">
        <v>3</v>
      </c>
    </row>
    <row r="27" spans="1:30">
      <c r="A27" s="8" t="s">
        <v>42</v>
      </c>
      <c r="B27" s="1">
        <v>2</v>
      </c>
      <c r="C27">
        <v>35</v>
      </c>
      <c r="D27">
        <v>1</v>
      </c>
      <c r="E27" s="1">
        <v>28</v>
      </c>
      <c r="F27" s="1">
        <v>31</v>
      </c>
      <c r="G27" s="1">
        <v>6</v>
      </c>
      <c r="H27" s="1">
        <v>4.1666666670000003</v>
      </c>
      <c r="I27" s="1">
        <v>4.6666666670000003</v>
      </c>
      <c r="J27" s="1">
        <v>2.3333333330000001</v>
      </c>
      <c r="K27">
        <v>3.5</v>
      </c>
      <c r="L27">
        <v>3.8</v>
      </c>
      <c r="M27" s="1">
        <v>31</v>
      </c>
      <c r="N27" s="1">
        <v>32</v>
      </c>
      <c r="O27" s="1">
        <v>6</v>
      </c>
      <c r="P27">
        <v>4.083333333333333</v>
      </c>
      <c r="Q27">
        <v>4.166666666666667</v>
      </c>
      <c r="R27">
        <v>2</v>
      </c>
      <c r="S27" s="1">
        <v>3.9285714285714284</v>
      </c>
      <c r="T27" s="1">
        <v>4.4000000000000004</v>
      </c>
      <c r="U27" s="1">
        <v>11</v>
      </c>
      <c r="V27" s="1">
        <v>18</v>
      </c>
      <c r="W27" s="1">
        <v>6</v>
      </c>
      <c r="X27">
        <v>3.9166666666666665</v>
      </c>
      <c r="Y27">
        <v>4</v>
      </c>
      <c r="Z27">
        <v>2.1666666666666665</v>
      </c>
      <c r="AA27" s="1">
        <v>4.0714285710000002</v>
      </c>
      <c r="AB27" s="1">
        <v>4.5999999999999996</v>
      </c>
    </row>
    <row r="28" spans="1:30">
      <c r="A28" s="8" t="s">
        <v>42</v>
      </c>
      <c r="B28" s="1">
        <v>2</v>
      </c>
      <c r="C28">
        <v>30</v>
      </c>
      <c r="D28">
        <v>1</v>
      </c>
      <c r="E28" s="1">
        <v>13</v>
      </c>
      <c r="F28" s="1">
        <v>23</v>
      </c>
      <c r="G28" s="1">
        <v>5</v>
      </c>
      <c r="H28" s="1">
        <v>2.6666666669999999</v>
      </c>
      <c r="I28" s="1">
        <v>3</v>
      </c>
      <c r="J28" s="1">
        <v>3.6666666669999999</v>
      </c>
      <c r="K28">
        <v>2.7142857142857144</v>
      </c>
      <c r="L28">
        <v>3</v>
      </c>
      <c r="M28" s="1">
        <v>23</v>
      </c>
      <c r="N28" s="1">
        <v>14</v>
      </c>
      <c r="O28" s="1">
        <v>0</v>
      </c>
      <c r="P28">
        <v>2.75</v>
      </c>
      <c r="Q28">
        <v>3</v>
      </c>
      <c r="R28">
        <v>3.5</v>
      </c>
      <c r="S28" s="1">
        <v>2.4285714285714284</v>
      </c>
      <c r="T28" s="1">
        <v>2.6</v>
      </c>
      <c r="U28" s="1">
        <v>18</v>
      </c>
      <c r="V28" s="1">
        <v>16</v>
      </c>
      <c r="W28" s="1">
        <v>7</v>
      </c>
      <c r="X28">
        <v>3</v>
      </c>
      <c r="Y28">
        <v>3.3333333333333335</v>
      </c>
      <c r="Z28">
        <v>3.3333333333333335</v>
      </c>
      <c r="AA28" s="1">
        <v>3.2857142860000002</v>
      </c>
      <c r="AB28" s="1">
        <v>3.6</v>
      </c>
    </row>
    <row r="29" spans="1:30">
      <c r="A29" s="8" t="s">
        <v>42</v>
      </c>
      <c r="B29" s="1">
        <v>2</v>
      </c>
      <c r="C29">
        <v>29</v>
      </c>
      <c r="D29">
        <v>1</v>
      </c>
      <c r="E29" s="1">
        <v>41</v>
      </c>
      <c r="F29" s="1">
        <v>26</v>
      </c>
      <c r="G29" s="1">
        <v>23</v>
      </c>
      <c r="H29" s="1">
        <v>2.75</v>
      </c>
      <c r="I29" s="1">
        <v>2.8333333330000001</v>
      </c>
      <c r="J29" s="1">
        <v>3.3333333330000001</v>
      </c>
      <c r="K29">
        <v>2.5</v>
      </c>
      <c r="L29">
        <v>2.6</v>
      </c>
      <c r="M29" s="1">
        <v>43</v>
      </c>
      <c r="N29" s="1">
        <v>26</v>
      </c>
      <c r="O29" s="1">
        <v>25</v>
      </c>
      <c r="P29">
        <v>2.5</v>
      </c>
      <c r="Q29">
        <v>2.8333333333333335</v>
      </c>
      <c r="R29">
        <v>3.8333333333333335</v>
      </c>
      <c r="S29" s="1">
        <v>2.2142857142857144</v>
      </c>
      <c r="T29" s="1">
        <v>2.4</v>
      </c>
      <c r="U29" s="1">
        <v>26</v>
      </c>
      <c r="V29" s="1">
        <v>14</v>
      </c>
      <c r="W29" s="1">
        <v>10</v>
      </c>
      <c r="X29">
        <v>2.75</v>
      </c>
      <c r="Y29">
        <v>2.3333333333333335</v>
      </c>
      <c r="Z29">
        <v>2.8333333333333335</v>
      </c>
      <c r="AA29" s="1">
        <v>3.5714285710000002</v>
      </c>
      <c r="AB29" s="1">
        <v>3.8</v>
      </c>
    </row>
    <row r="30" spans="1:30">
      <c r="A30" s="8" t="s">
        <v>42</v>
      </c>
      <c r="B30" s="1">
        <v>2</v>
      </c>
      <c r="C30">
        <v>26</v>
      </c>
      <c r="D30">
        <v>2</v>
      </c>
      <c r="E30" s="1">
        <v>39</v>
      </c>
      <c r="F30" s="1">
        <v>28</v>
      </c>
      <c r="G30" s="1">
        <v>20</v>
      </c>
      <c r="H30" s="1">
        <v>1.9166666670000001</v>
      </c>
      <c r="I30" s="1">
        <v>2.1666666669999999</v>
      </c>
      <c r="J30" s="1">
        <v>4.3333333329999997</v>
      </c>
      <c r="K30">
        <v>2.5</v>
      </c>
      <c r="L30">
        <v>1.8</v>
      </c>
      <c r="M30" s="1">
        <v>19</v>
      </c>
      <c r="N30" s="1">
        <v>36</v>
      </c>
      <c r="O30" s="1">
        <v>4</v>
      </c>
      <c r="P30">
        <v>2.75</v>
      </c>
      <c r="Q30">
        <v>2.5</v>
      </c>
      <c r="R30">
        <v>3</v>
      </c>
      <c r="S30" s="1">
        <v>3.1428571428571428</v>
      </c>
      <c r="T30" s="1">
        <v>3.6</v>
      </c>
      <c r="U30" s="1">
        <v>16</v>
      </c>
      <c r="V30" s="1">
        <v>21</v>
      </c>
      <c r="W30" s="1">
        <v>5</v>
      </c>
      <c r="X30">
        <v>2.8333333333333335</v>
      </c>
      <c r="Y30">
        <v>3</v>
      </c>
      <c r="Z30">
        <v>3.3333333333333335</v>
      </c>
      <c r="AA30" s="1">
        <v>2.4285714289999998</v>
      </c>
      <c r="AB30" s="1">
        <v>2.6</v>
      </c>
    </row>
    <row r="31" spans="1:30">
      <c r="A31" s="8" t="s">
        <v>42</v>
      </c>
      <c r="B31" s="1">
        <v>2</v>
      </c>
      <c r="C31">
        <v>25</v>
      </c>
      <c r="D31">
        <v>2</v>
      </c>
      <c r="E31" s="1">
        <v>13</v>
      </c>
      <c r="F31" s="1">
        <v>38</v>
      </c>
      <c r="G31" s="1">
        <v>2</v>
      </c>
      <c r="H31" s="1">
        <v>3.8333333330000001</v>
      </c>
      <c r="I31" s="1">
        <v>3.8333333330000001</v>
      </c>
      <c r="J31" s="1">
        <v>2.1666666669999999</v>
      </c>
      <c r="K31">
        <v>3.7142857142857144</v>
      </c>
      <c r="L31">
        <v>3.6</v>
      </c>
      <c r="M31" s="1">
        <v>16</v>
      </c>
      <c r="N31" s="1">
        <v>41</v>
      </c>
      <c r="O31" s="1">
        <v>4</v>
      </c>
      <c r="P31">
        <v>4</v>
      </c>
      <c r="Q31">
        <v>4.166666666666667</v>
      </c>
      <c r="R31">
        <v>2.1666666666666665</v>
      </c>
      <c r="S31" s="1">
        <v>4.3571428571428568</v>
      </c>
      <c r="T31" s="1">
        <v>4.4000000000000004</v>
      </c>
      <c r="U31" s="1">
        <v>18</v>
      </c>
      <c r="V31" s="1">
        <v>17</v>
      </c>
      <c r="W31" s="1">
        <v>1</v>
      </c>
      <c r="X31">
        <v>3.75</v>
      </c>
      <c r="Y31">
        <v>3.8333333333333335</v>
      </c>
      <c r="Z31">
        <v>2.3333333333333335</v>
      </c>
      <c r="AA31" s="1">
        <v>3.8571428569999999</v>
      </c>
      <c r="AB31" s="1">
        <v>3.6</v>
      </c>
    </row>
    <row r="32" spans="1:30">
      <c r="A32" s="8" t="s">
        <v>42</v>
      </c>
      <c r="B32" s="1">
        <v>2</v>
      </c>
      <c r="C32">
        <v>25</v>
      </c>
      <c r="D32">
        <v>1</v>
      </c>
      <c r="E32" s="1">
        <v>21</v>
      </c>
      <c r="F32" s="1">
        <v>25</v>
      </c>
      <c r="G32" s="1">
        <v>23</v>
      </c>
      <c r="H32" s="1">
        <v>2.6666666669999999</v>
      </c>
      <c r="I32" s="1">
        <v>2.6666666669999999</v>
      </c>
      <c r="J32" s="1">
        <v>3.3333333330000001</v>
      </c>
      <c r="K32">
        <v>2.5</v>
      </c>
      <c r="L32">
        <v>2.6</v>
      </c>
      <c r="M32" s="1">
        <v>30</v>
      </c>
      <c r="N32" s="1">
        <v>34</v>
      </c>
      <c r="O32" s="1">
        <v>18</v>
      </c>
      <c r="P32">
        <v>2.9166666666666665</v>
      </c>
      <c r="Q32">
        <v>3</v>
      </c>
      <c r="R32">
        <v>3.1666666666666665</v>
      </c>
      <c r="S32" s="1">
        <v>3</v>
      </c>
      <c r="T32" s="1">
        <v>3.2</v>
      </c>
      <c r="U32" s="1">
        <v>14</v>
      </c>
      <c r="V32" s="1">
        <v>18</v>
      </c>
      <c r="W32" s="1">
        <v>9</v>
      </c>
      <c r="X32">
        <v>2.9166666666666665</v>
      </c>
      <c r="Y32">
        <v>2.6666666666666665</v>
      </c>
      <c r="Z32">
        <v>2.8333333333333335</v>
      </c>
      <c r="AA32" s="1">
        <v>3.2142857139999998</v>
      </c>
      <c r="AB32" s="1">
        <v>3.6</v>
      </c>
    </row>
    <row r="33" spans="1:30">
      <c r="A33" s="8" t="s">
        <v>42</v>
      </c>
      <c r="B33" s="1">
        <v>2</v>
      </c>
      <c r="C33">
        <v>30</v>
      </c>
      <c r="D33">
        <v>3</v>
      </c>
      <c r="E33" s="1">
        <v>23</v>
      </c>
      <c r="F33" s="1">
        <v>40</v>
      </c>
      <c r="G33" s="1">
        <v>0</v>
      </c>
      <c r="H33" s="1">
        <v>2.5833333330000001</v>
      </c>
      <c r="I33" s="1">
        <v>2.5</v>
      </c>
      <c r="J33" s="1">
        <v>3.3333333330000001</v>
      </c>
      <c r="K33">
        <v>4</v>
      </c>
      <c r="L33">
        <v>4.2</v>
      </c>
      <c r="M33" s="1">
        <v>13</v>
      </c>
      <c r="N33" s="1">
        <v>40</v>
      </c>
      <c r="O33" s="1">
        <v>0</v>
      </c>
      <c r="P33">
        <v>3.5</v>
      </c>
      <c r="Q33">
        <v>4</v>
      </c>
      <c r="R33">
        <v>3</v>
      </c>
      <c r="S33" s="1">
        <v>4</v>
      </c>
      <c r="T33" s="1">
        <v>3.2</v>
      </c>
      <c r="X33"/>
      <c r="Y33"/>
      <c r="Z33"/>
    </row>
    <row r="34" spans="1:30">
      <c r="A34" s="8" t="s">
        <v>42</v>
      </c>
      <c r="B34" s="1">
        <v>2</v>
      </c>
      <c r="C34">
        <v>29</v>
      </c>
      <c r="D34">
        <v>2</v>
      </c>
      <c r="E34" s="1">
        <v>20</v>
      </c>
      <c r="F34" s="1">
        <v>26</v>
      </c>
      <c r="G34" s="1">
        <v>3</v>
      </c>
      <c r="H34" s="1">
        <v>4.1666666670000003</v>
      </c>
      <c r="I34" s="1">
        <v>4.3333333329999997</v>
      </c>
      <c r="J34" s="1">
        <v>2</v>
      </c>
      <c r="K34">
        <v>3.7857142857142856</v>
      </c>
      <c r="L34">
        <v>4.4000000000000004</v>
      </c>
      <c r="M34" s="1">
        <v>28</v>
      </c>
      <c r="N34" s="1">
        <v>23</v>
      </c>
      <c r="O34" s="1">
        <v>4</v>
      </c>
      <c r="P34">
        <v>3.9166666666666665</v>
      </c>
      <c r="Q34">
        <v>4.166666666666667</v>
      </c>
      <c r="R34">
        <v>2.3333333333333335</v>
      </c>
      <c r="S34" s="1">
        <v>3.7142857142857144</v>
      </c>
      <c r="T34" s="1">
        <v>3.8</v>
      </c>
      <c r="U34" s="1">
        <v>16</v>
      </c>
      <c r="V34" s="1">
        <v>19</v>
      </c>
      <c r="W34" s="1">
        <v>3</v>
      </c>
      <c r="X34">
        <v>4</v>
      </c>
      <c r="Y34">
        <v>4.166666666666667</v>
      </c>
      <c r="Z34">
        <v>2.1666666666666665</v>
      </c>
      <c r="AA34" s="1">
        <v>4</v>
      </c>
      <c r="AB34" s="1">
        <v>3.8</v>
      </c>
    </row>
    <row r="35" spans="1:30">
      <c r="A35" s="8" t="s">
        <v>42</v>
      </c>
      <c r="B35" s="1">
        <v>2</v>
      </c>
      <c r="C35">
        <v>40</v>
      </c>
      <c r="D35">
        <v>1</v>
      </c>
      <c r="E35" s="1">
        <v>26</v>
      </c>
      <c r="F35" s="1">
        <v>39</v>
      </c>
      <c r="G35" s="1">
        <v>8</v>
      </c>
      <c r="H35" s="1">
        <v>3.3333333330000001</v>
      </c>
      <c r="I35" s="1">
        <v>4.1666666670000003</v>
      </c>
      <c r="J35" s="1">
        <v>3.5</v>
      </c>
      <c r="K35">
        <v>2.6428571428571428</v>
      </c>
      <c r="L35">
        <v>2.6</v>
      </c>
      <c r="M35" s="1">
        <v>36</v>
      </c>
      <c r="N35" s="1">
        <v>34</v>
      </c>
      <c r="O35" s="1">
        <v>12</v>
      </c>
      <c r="P35">
        <v>2.8333333333333335</v>
      </c>
      <c r="Q35">
        <v>3.3333333333333335</v>
      </c>
      <c r="R35">
        <v>3.6666666666666665</v>
      </c>
      <c r="S35" s="1">
        <v>2.8571428571428572</v>
      </c>
      <c r="T35" s="1">
        <v>2.6</v>
      </c>
      <c r="U35" s="1">
        <v>12</v>
      </c>
      <c r="V35" s="1">
        <v>19</v>
      </c>
      <c r="W35" s="1">
        <v>6</v>
      </c>
      <c r="X35">
        <v>2.9166666666666665</v>
      </c>
      <c r="Y35">
        <v>3</v>
      </c>
      <c r="Z35">
        <v>3.1666666666666665</v>
      </c>
      <c r="AA35" s="1">
        <v>2.9285714289999998</v>
      </c>
      <c r="AB35" s="1">
        <v>3</v>
      </c>
    </row>
    <row r="36" spans="1:30">
      <c r="A36" s="8" t="s">
        <v>42</v>
      </c>
      <c r="B36" s="1">
        <v>2</v>
      </c>
      <c r="C36">
        <v>23</v>
      </c>
      <c r="D36">
        <v>1</v>
      </c>
      <c r="E36" s="1">
        <v>28</v>
      </c>
      <c r="F36" s="1">
        <v>32</v>
      </c>
      <c r="G36" s="1">
        <v>18</v>
      </c>
      <c r="H36" s="1">
        <v>3.6666666669999999</v>
      </c>
      <c r="I36" s="1">
        <v>4</v>
      </c>
      <c r="J36" s="1">
        <v>2.6666666669999999</v>
      </c>
      <c r="K36">
        <v>3</v>
      </c>
      <c r="L36">
        <v>2.6</v>
      </c>
      <c r="M36" s="1">
        <v>35</v>
      </c>
      <c r="N36" s="1">
        <v>43</v>
      </c>
      <c r="O36" s="1">
        <v>4</v>
      </c>
      <c r="P36">
        <v>2.1666666666666665</v>
      </c>
      <c r="Q36">
        <v>2.3333333333333335</v>
      </c>
      <c r="R36">
        <v>4</v>
      </c>
      <c r="S36" s="1">
        <v>2.9285714285714284</v>
      </c>
      <c r="T36" s="1">
        <v>2.6</v>
      </c>
      <c r="U36" s="1">
        <v>13</v>
      </c>
      <c r="V36" s="1">
        <v>14</v>
      </c>
      <c r="W36" s="1">
        <v>6</v>
      </c>
      <c r="X36">
        <v>2.9166666666666665</v>
      </c>
      <c r="Y36">
        <v>3.1666666666666665</v>
      </c>
      <c r="Z36">
        <v>3.3333333333333335</v>
      </c>
      <c r="AA36" s="1">
        <v>3.6428571430000001</v>
      </c>
      <c r="AB36" s="1">
        <v>4</v>
      </c>
    </row>
    <row r="37" spans="1:30">
      <c r="A37" s="8" t="s">
        <v>42</v>
      </c>
      <c r="B37" s="1">
        <v>2</v>
      </c>
      <c r="C37">
        <v>28</v>
      </c>
      <c r="D37">
        <v>2</v>
      </c>
      <c r="E37" s="1">
        <v>41</v>
      </c>
      <c r="F37" s="1">
        <v>21</v>
      </c>
      <c r="G37" s="1">
        <v>15</v>
      </c>
      <c r="H37" s="1">
        <v>2.5</v>
      </c>
      <c r="I37" s="1">
        <v>2.8333333330000001</v>
      </c>
      <c r="J37" s="1">
        <v>3.8333333330000001</v>
      </c>
      <c r="K37">
        <v>2.5714285714285716</v>
      </c>
      <c r="L37">
        <v>2.6</v>
      </c>
      <c r="M37" s="1">
        <v>25</v>
      </c>
      <c r="N37" s="1">
        <v>33</v>
      </c>
      <c r="O37" s="1">
        <v>5</v>
      </c>
      <c r="P37">
        <v>3.25</v>
      </c>
      <c r="Q37">
        <v>3.3333333333333335</v>
      </c>
      <c r="R37">
        <v>2.8333333333333335</v>
      </c>
      <c r="S37" s="1">
        <v>3.2142857142857144</v>
      </c>
      <c r="T37" s="1">
        <v>3</v>
      </c>
      <c r="U37" s="1">
        <v>12</v>
      </c>
      <c r="V37" s="1">
        <v>20</v>
      </c>
      <c r="W37" s="1">
        <v>3</v>
      </c>
      <c r="X37">
        <v>4.083333333333333</v>
      </c>
      <c r="Y37">
        <v>4.333333333333333</v>
      </c>
      <c r="Z37">
        <v>2.1666666666666665</v>
      </c>
      <c r="AA37" s="1">
        <v>3.8571428569999999</v>
      </c>
      <c r="AB37" s="1">
        <v>4</v>
      </c>
    </row>
    <row r="38" spans="1:30">
      <c r="A38" s="8" t="s">
        <v>42</v>
      </c>
      <c r="B38" s="1">
        <v>2</v>
      </c>
      <c r="C38">
        <v>27</v>
      </c>
      <c r="D38">
        <v>2</v>
      </c>
      <c r="E38" s="1">
        <v>39</v>
      </c>
      <c r="F38" s="1">
        <v>25</v>
      </c>
      <c r="G38" s="1">
        <v>5</v>
      </c>
      <c r="H38" s="1">
        <v>2.0833333330000001</v>
      </c>
      <c r="I38" s="1">
        <v>2.3333333330000001</v>
      </c>
      <c r="J38" s="1">
        <v>4.1666666670000003</v>
      </c>
      <c r="K38">
        <v>3.1428571428571428</v>
      </c>
      <c r="L38">
        <v>3.2</v>
      </c>
      <c r="M38" s="1">
        <v>37</v>
      </c>
      <c r="N38" s="1">
        <v>26</v>
      </c>
      <c r="O38" s="1">
        <v>5</v>
      </c>
      <c r="P38">
        <v>2.3333333333333335</v>
      </c>
      <c r="Q38">
        <v>2.5</v>
      </c>
      <c r="R38">
        <v>3.8333333333333335</v>
      </c>
      <c r="S38" s="1">
        <v>3.1428571428571428</v>
      </c>
      <c r="T38" s="1">
        <v>3</v>
      </c>
      <c r="U38" s="1">
        <v>17</v>
      </c>
      <c r="V38" s="1">
        <v>16</v>
      </c>
      <c r="W38" s="1">
        <v>5</v>
      </c>
      <c r="X38">
        <v>2.8333333333333335</v>
      </c>
      <c r="Y38">
        <v>2.8333333333333335</v>
      </c>
      <c r="Z38">
        <v>3.1666666666666665</v>
      </c>
      <c r="AA38" s="1">
        <v>2.9285714289999998</v>
      </c>
      <c r="AB38" s="1">
        <v>3.2</v>
      </c>
    </row>
    <row r="39" spans="1:30">
      <c r="A39" s="8" t="s">
        <v>42</v>
      </c>
      <c r="B39" s="1">
        <v>2</v>
      </c>
      <c r="C39">
        <v>24</v>
      </c>
      <c r="D39">
        <v>2</v>
      </c>
      <c r="E39" s="1">
        <v>12</v>
      </c>
      <c r="F39" s="1">
        <v>41</v>
      </c>
      <c r="G39" s="1">
        <v>4</v>
      </c>
      <c r="H39" s="1">
        <v>2.75</v>
      </c>
      <c r="I39" s="1">
        <v>3.3333333330000001</v>
      </c>
      <c r="J39" s="1">
        <v>3.8333333330000001</v>
      </c>
      <c r="K39">
        <v>2.7142857142857144</v>
      </c>
      <c r="L39">
        <v>2.8</v>
      </c>
      <c r="M39" s="1">
        <v>10</v>
      </c>
      <c r="N39" s="1">
        <v>46</v>
      </c>
      <c r="O39" s="1">
        <v>3</v>
      </c>
      <c r="P39">
        <v>2.6666666666666665</v>
      </c>
      <c r="Q39">
        <v>3.1666666666666665</v>
      </c>
      <c r="R39">
        <v>3.8333333333333335</v>
      </c>
      <c r="S39" s="1">
        <v>2.7857142857142856</v>
      </c>
      <c r="T39" s="1">
        <v>2.6</v>
      </c>
      <c r="U39" s="1">
        <v>16</v>
      </c>
      <c r="V39" s="1">
        <v>18</v>
      </c>
      <c r="W39" s="1">
        <v>7</v>
      </c>
      <c r="X39">
        <v>2.8333333333333335</v>
      </c>
      <c r="Y39">
        <v>3.5</v>
      </c>
      <c r="Z39">
        <v>3.8333333333333335</v>
      </c>
      <c r="AA39" s="1">
        <v>2.4285714289999998</v>
      </c>
      <c r="AB39" s="1">
        <v>2.2000000000000002</v>
      </c>
    </row>
    <row r="40" spans="1:30">
      <c r="A40" s="8" t="s">
        <v>42</v>
      </c>
      <c r="B40" s="1">
        <v>2</v>
      </c>
      <c r="C40">
        <v>43</v>
      </c>
      <c r="D40">
        <v>2</v>
      </c>
      <c r="E40" s="1">
        <v>17</v>
      </c>
      <c r="F40" s="1">
        <v>30</v>
      </c>
      <c r="G40" s="1">
        <v>2</v>
      </c>
      <c r="H40" s="1">
        <v>3.3333333330000001</v>
      </c>
      <c r="I40" s="1">
        <v>3.8333333330000001</v>
      </c>
      <c r="J40" s="1">
        <v>3.1666666669999999</v>
      </c>
      <c r="K40">
        <v>4</v>
      </c>
      <c r="L40">
        <v>4</v>
      </c>
      <c r="M40" s="1">
        <v>12</v>
      </c>
      <c r="N40" s="1">
        <v>32</v>
      </c>
      <c r="O40" s="1">
        <v>4</v>
      </c>
      <c r="P40">
        <v>3.0833333333333335</v>
      </c>
      <c r="Q40">
        <v>3.6666666666666665</v>
      </c>
      <c r="R40">
        <v>3.5</v>
      </c>
      <c r="S40" s="1">
        <v>3.9285714285714284</v>
      </c>
      <c r="T40" s="1">
        <v>4</v>
      </c>
      <c r="U40" s="1">
        <v>15</v>
      </c>
      <c r="V40" s="1">
        <v>20</v>
      </c>
      <c r="W40" s="1">
        <v>6</v>
      </c>
      <c r="X40">
        <v>3.5</v>
      </c>
      <c r="Y40">
        <v>4.333333333333333</v>
      </c>
      <c r="Z40">
        <v>3.3333333333333335</v>
      </c>
      <c r="AA40" s="1">
        <v>3.8571428569999999</v>
      </c>
      <c r="AB40" s="1">
        <v>4.2</v>
      </c>
    </row>
    <row r="41" spans="1:30">
      <c r="A41" s="8" t="s">
        <v>42</v>
      </c>
      <c r="B41" s="1">
        <v>2</v>
      </c>
      <c r="C41">
        <v>28</v>
      </c>
      <c r="D41">
        <v>1</v>
      </c>
      <c r="E41" s="1">
        <v>16</v>
      </c>
      <c r="F41" s="1">
        <v>41</v>
      </c>
      <c r="G41" s="1">
        <v>11</v>
      </c>
      <c r="H41" s="1">
        <v>4.5</v>
      </c>
      <c r="I41" s="1">
        <v>4.5</v>
      </c>
      <c r="J41" s="1">
        <v>1.5</v>
      </c>
      <c r="K41">
        <v>3.2142857142857144</v>
      </c>
      <c r="L41">
        <v>3</v>
      </c>
      <c r="M41" s="1">
        <v>9</v>
      </c>
      <c r="N41" s="1">
        <v>41</v>
      </c>
      <c r="O41" s="1">
        <v>3</v>
      </c>
      <c r="P41">
        <v>4.416666666666667</v>
      </c>
      <c r="Q41">
        <v>4.666666666666667</v>
      </c>
      <c r="R41">
        <v>1.8333333333333333</v>
      </c>
      <c r="S41" s="1">
        <v>3.7857142857142856</v>
      </c>
      <c r="T41" s="1">
        <v>3.8</v>
      </c>
      <c r="U41" s="1">
        <v>11</v>
      </c>
      <c r="V41" s="1">
        <v>22</v>
      </c>
      <c r="W41" s="1">
        <v>4</v>
      </c>
      <c r="X41">
        <v>4.25</v>
      </c>
      <c r="Y41">
        <v>4.333333333333333</v>
      </c>
      <c r="Z41">
        <v>1.8333333333333333</v>
      </c>
      <c r="AA41" s="1">
        <v>3.7142857139999998</v>
      </c>
      <c r="AB41" s="1">
        <v>3.8</v>
      </c>
    </row>
    <row r="42" spans="1:30">
      <c r="A42" s="8" t="s">
        <v>42</v>
      </c>
      <c r="B42" s="1">
        <v>2</v>
      </c>
      <c r="C42">
        <v>30</v>
      </c>
      <c r="D42">
        <v>1</v>
      </c>
      <c r="E42" s="1">
        <v>30</v>
      </c>
      <c r="F42" s="1">
        <v>36</v>
      </c>
      <c r="G42" s="1">
        <v>1</v>
      </c>
      <c r="H42" s="1">
        <v>2.9166666669999999</v>
      </c>
      <c r="I42" s="1">
        <v>4.1666666670000003</v>
      </c>
      <c r="J42" s="1">
        <v>4.3333333329999997</v>
      </c>
      <c r="K42">
        <v>2.1428571428571428</v>
      </c>
      <c r="L42">
        <v>2.2000000000000002</v>
      </c>
      <c r="M42" s="1">
        <v>41</v>
      </c>
      <c r="N42" s="1">
        <v>36</v>
      </c>
      <c r="O42" s="1">
        <v>3</v>
      </c>
      <c r="P42">
        <v>2.5</v>
      </c>
      <c r="Q42">
        <v>3.5</v>
      </c>
      <c r="R42">
        <v>4.5</v>
      </c>
      <c r="S42" s="1">
        <v>2.4285714285714284</v>
      </c>
      <c r="T42" s="1">
        <v>1.8</v>
      </c>
      <c r="U42" s="1">
        <v>22</v>
      </c>
      <c r="V42" s="1">
        <v>23</v>
      </c>
      <c r="W42" s="1">
        <v>3</v>
      </c>
      <c r="X42">
        <v>2.6666666666666665</v>
      </c>
      <c r="Y42">
        <v>3.5</v>
      </c>
      <c r="Z42">
        <v>4.166666666666667</v>
      </c>
      <c r="AA42" s="1">
        <v>2.0714285710000002</v>
      </c>
      <c r="AB42" s="1">
        <v>2</v>
      </c>
    </row>
    <row r="43" spans="1:30">
      <c r="A43" s="8" t="s">
        <v>42</v>
      </c>
      <c r="B43" s="1">
        <v>2</v>
      </c>
      <c r="C43">
        <v>31</v>
      </c>
      <c r="D43">
        <v>1</v>
      </c>
      <c r="E43" s="1">
        <v>17</v>
      </c>
      <c r="F43" s="1">
        <v>39</v>
      </c>
      <c r="G43" s="1">
        <v>5</v>
      </c>
      <c r="H43" s="1">
        <v>3.0833333330000001</v>
      </c>
      <c r="I43" s="1">
        <v>3.3333333330000001</v>
      </c>
      <c r="J43" s="1">
        <v>3.1666666669999999</v>
      </c>
      <c r="K43">
        <v>3.7857142857142856</v>
      </c>
      <c r="L43">
        <v>3.8</v>
      </c>
      <c r="M43" s="1">
        <v>0</v>
      </c>
      <c r="N43" s="1">
        <v>38</v>
      </c>
      <c r="O43" s="1">
        <v>5</v>
      </c>
      <c r="P43">
        <v>2.6666666666666665</v>
      </c>
      <c r="Q43">
        <v>2.8333333333333335</v>
      </c>
      <c r="R43">
        <v>3.5</v>
      </c>
      <c r="S43" s="1">
        <v>3.2142857142857144</v>
      </c>
      <c r="T43" s="1">
        <v>2.8</v>
      </c>
      <c r="U43" s="1">
        <v>21</v>
      </c>
      <c r="V43" s="1">
        <v>20</v>
      </c>
      <c r="W43" s="1">
        <v>1</v>
      </c>
      <c r="X43">
        <v>3.5833333333333335</v>
      </c>
      <c r="Y43">
        <v>3.6666666666666665</v>
      </c>
      <c r="Z43">
        <v>2.5</v>
      </c>
      <c r="AA43" s="1">
        <v>5.1428571429999996</v>
      </c>
      <c r="AB43" s="1">
        <v>5</v>
      </c>
    </row>
    <row r="44" spans="1:30">
      <c r="A44" s="8" t="s">
        <v>42</v>
      </c>
      <c r="B44" s="1">
        <v>2</v>
      </c>
      <c r="C44">
        <v>31</v>
      </c>
      <c r="D44">
        <v>1</v>
      </c>
      <c r="E44" s="1">
        <v>13</v>
      </c>
      <c r="F44" s="1">
        <v>32</v>
      </c>
      <c r="G44" s="1">
        <v>1</v>
      </c>
      <c r="H44" s="1">
        <v>3.5</v>
      </c>
      <c r="I44" s="1">
        <v>4.3333333329999997</v>
      </c>
      <c r="J44" s="1">
        <v>3.3333333330000001</v>
      </c>
      <c r="K44">
        <v>5.1428571428571432</v>
      </c>
      <c r="L44">
        <v>5.4</v>
      </c>
      <c r="M44" s="1">
        <v>4</v>
      </c>
      <c r="N44" s="1">
        <v>37</v>
      </c>
      <c r="O44" s="1">
        <v>0</v>
      </c>
      <c r="P44">
        <v>3.6666666666666665</v>
      </c>
      <c r="Q44">
        <v>4.5</v>
      </c>
      <c r="R44">
        <v>3.1666666666666665</v>
      </c>
      <c r="S44" s="1">
        <v>5.4285714285714288</v>
      </c>
      <c r="T44" s="1">
        <v>5.2</v>
      </c>
      <c r="U44" s="1">
        <v>10</v>
      </c>
      <c r="V44" s="1">
        <v>22</v>
      </c>
      <c r="W44" s="1">
        <v>1</v>
      </c>
      <c r="X44">
        <v>3.8333333333333335</v>
      </c>
      <c r="Y44">
        <v>4</v>
      </c>
      <c r="Z44">
        <v>2.3333333333333335</v>
      </c>
      <c r="AA44" s="1">
        <v>5.1428571429999996</v>
      </c>
      <c r="AB44" s="1">
        <v>4.5999999999999996</v>
      </c>
    </row>
    <row r="45" spans="1:30">
      <c r="A45" s="5"/>
      <c r="C45" s="11">
        <f>AVERAGE(C2:C23)</f>
        <v>27.90909090909091</v>
      </c>
      <c r="D45" s="11"/>
      <c r="E45" s="11">
        <f t="shared" ref="E45:AB45" si="0">AVERAGE(E2:E23)</f>
        <v>16.272727272727273</v>
      </c>
      <c r="F45" s="11">
        <f t="shared" si="0"/>
        <v>21.40909090909091</v>
      </c>
      <c r="G45" s="11">
        <f t="shared" si="0"/>
        <v>5.3636363636363633</v>
      </c>
      <c r="H45" s="11">
        <f t="shared" si="0"/>
        <v>2.6893939393181818</v>
      </c>
      <c r="I45" s="11">
        <f t="shared" si="0"/>
        <v>3.0984848484545453</v>
      </c>
      <c r="J45" s="11">
        <f t="shared" si="0"/>
        <v>3.7196969696818183</v>
      </c>
      <c r="K45" s="11">
        <f t="shared" si="0"/>
        <v>3.1785714285714288</v>
      </c>
      <c r="L45" s="11">
        <f t="shared" si="0"/>
        <v>2.9363636363636374</v>
      </c>
      <c r="M45" s="11">
        <f t="shared" si="0"/>
        <v>15</v>
      </c>
      <c r="N45" s="11">
        <f t="shared" si="0"/>
        <v>21.636363636363637</v>
      </c>
      <c r="O45" s="11">
        <f t="shared" si="0"/>
        <v>4.5</v>
      </c>
      <c r="P45" s="11">
        <f t="shared" si="0"/>
        <v>3.0151515151515151</v>
      </c>
      <c r="Q45" s="11">
        <f t="shared" si="0"/>
        <v>3.333333333333333</v>
      </c>
      <c r="R45" s="11">
        <f t="shared" si="0"/>
        <v>3.3030303030303028</v>
      </c>
      <c r="S45" s="11">
        <f t="shared" si="0"/>
        <v>3.4123376623636363</v>
      </c>
      <c r="T45" s="11">
        <f t="shared" si="0"/>
        <v>3.372727272727273</v>
      </c>
      <c r="U45" s="11">
        <f t="shared" si="0"/>
        <v>15.9</v>
      </c>
      <c r="V45" s="11">
        <f t="shared" si="0"/>
        <v>19.8</v>
      </c>
      <c r="W45" s="11">
        <f t="shared" si="0"/>
        <v>5.55</v>
      </c>
      <c r="X45" s="11">
        <f t="shared" si="0"/>
        <v>3.1416666666666662</v>
      </c>
      <c r="Y45" s="11">
        <f t="shared" si="0"/>
        <v>3.4749999999999992</v>
      </c>
      <c r="Z45" s="11">
        <f t="shared" si="0"/>
        <v>3.1916666666666673</v>
      </c>
      <c r="AA45" s="11">
        <f t="shared" si="0"/>
        <v>3.464285714285714</v>
      </c>
      <c r="AB45" s="11">
        <f t="shared" si="0"/>
        <v>3.410000000000001</v>
      </c>
      <c r="AC45" s="11">
        <f>AVERAGE(AC2:AC23)</f>
        <v>40.636363636363633</v>
      </c>
      <c r="AD45" s="11">
        <f>AVERAGE(AD2:AD23)</f>
        <v>8.5909090909090917</v>
      </c>
    </row>
    <row r="46" spans="1:30">
      <c r="A46" s="5"/>
      <c r="C46" s="11">
        <f>_xlfn.STDEV.S(C2:C23)</f>
        <v>3.1458073520328318</v>
      </c>
      <c r="D46" s="11"/>
      <c r="E46" s="11">
        <f t="shared" ref="E46:AD46" si="1">_xlfn.STDEV.S(E2:E23)</f>
        <v>4.4527339721613517</v>
      </c>
      <c r="F46" s="11">
        <f t="shared" si="1"/>
        <v>3.6339548298826876</v>
      </c>
      <c r="G46" s="11">
        <f t="shared" si="1"/>
        <v>3.3316012816012517</v>
      </c>
      <c r="H46" s="11">
        <f t="shared" si="1"/>
        <v>0.56588520938021181</v>
      </c>
      <c r="I46" s="11">
        <f t="shared" si="1"/>
        <v>0.71391885714775238</v>
      </c>
      <c r="J46" s="11">
        <f t="shared" si="1"/>
        <v>0.63284518295547687</v>
      </c>
      <c r="K46" s="11">
        <f t="shared" si="1"/>
        <v>0.6575235513671972</v>
      </c>
      <c r="L46" s="11">
        <f t="shared" si="1"/>
        <v>0.7937526630149252</v>
      </c>
      <c r="M46" s="11">
        <f t="shared" si="1"/>
        <v>5.8554004376911992</v>
      </c>
      <c r="N46" s="11">
        <f t="shared" si="1"/>
        <v>4.4136741475237518</v>
      </c>
      <c r="O46" s="11">
        <f t="shared" si="1"/>
        <v>3.7129118338191502</v>
      </c>
      <c r="P46" s="11">
        <f t="shared" si="1"/>
        <v>0.57999975120659553</v>
      </c>
      <c r="Q46" s="11">
        <f t="shared" si="1"/>
        <v>0.53699142298531344</v>
      </c>
      <c r="R46" s="11">
        <f t="shared" si="1"/>
        <v>0.81752686093496141</v>
      </c>
      <c r="S46" s="11">
        <f t="shared" si="1"/>
        <v>0.71799439169817014</v>
      </c>
      <c r="T46" s="11">
        <f t="shared" si="1"/>
        <v>0.84694510879750406</v>
      </c>
      <c r="U46" s="11">
        <f t="shared" si="1"/>
        <v>7.3834808507697929</v>
      </c>
      <c r="V46" s="11">
        <f t="shared" si="1"/>
        <v>4.2500773986760327</v>
      </c>
      <c r="W46" s="11">
        <f t="shared" si="1"/>
        <v>4.4304567900410738</v>
      </c>
      <c r="X46" s="11">
        <f t="shared" si="1"/>
        <v>0.54551601195404775</v>
      </c>
      <c r="Y46" s="11">
        <f t="shared" si="1"/>
        <v>0.5954874164563847</v>
      </c>
      <c r="Z46" s="11">
        <f t="shared" si="1"/>
        <v>0.62659154084963953</v>
      </c>
      <c r="AA46" s="11">
        <f t="shared" si="1"/>
        <v>0.84053458514758139</v>
      </c>
      <c r="AB46" s="11">
        <f t="shared" si="1"/>
        <v>1.0828325428197407</v>
      </c>
      <c r="AC46" s="11">
        <f t="shared" si="1"/>
        <v>17.785883794112184</v>
      </c>
      <c r="AD46" s="11">
        <f t="shared" si="1"/>
        <v>2.2180877845372615</v>
      </c>
    </row>
    <row r="47" spans="1:30">
      <c r="A47" s="5"/>
      <c r="C47" s="11">
        <f>AVERAGE(C24:C44)</f>
        <v>29.666666666666668</v>
      </c>
      <c r="D47" s="11"/>
      <c r="E47" s="11">
        <f t="shared" ref="E47:AB47" si="2">AVERAGE(E24:E44)</f>
        <v>24.047619047619047</v>
      </c>
      <c r="F47" s="11">
        <f>AVERAGE(F24:F44)</f>
        <v>32.857142857142854</v>
      </c>
      <c r="G47" s="11">
        <f t="shared" si="2"/>
        <v>9.2857142857142865</v>
      </c>
      <c r="H47" s="11">
        <f t="shared" si="2"/>
        <v>3.0873015873333336</v>
      </c>
      <c r="I47" s="11">
        <f t="shared" si="2"/>
        <v>3.484126984095238</v>
      </c>
      <c r="J47" s="11">
        <f t="shared" si="2"/>
        <v>3.3095238094285713</v>
      </c>
      <c r="K47" s="11">
        <f t="shared" si="2"/>
        <v>3.1360544217687076</v>
      </c>
      <c r="L47" s="11">
        <f t="shared" si="2"/>
        <v>3.2190476190476196</v>
      </c>
      <c r="M47" s="11">
        <f t="shared" si="2"/>
        <v>23.047619047619047</v>
      </c>
      <c r="N47" s="11">
        <f t="shared" si="2"/>
        <v>34.666666666666664</v>
      </c>
      <c r="O47" s="11">
        <f t="shared" si="2"/>
        <v>7.5714285714285712</v>
      </c>
      <c r="P47" s="11">
        <f t="shared" si="2"/>
        <v>3.1507936507936511</v>
      </c>
      <c r="Q47" s="11">
        <f t="shared" si="2"/>
        <v>3.4841269841269842</v>
      </c>
      <c r="R47" s="11">
        <f t="shared" si="2"/>
        <v>3.1825396825396828</v>
      </c>
      <c r="S47" s="11">
        <f t="shared" si="2"/>
        <v>3.3095238095238093</v>
      </c>
      <c r="T47" s="11">
        <f t="shared" si="2"/>
        <v>3.2476190476190472</v>
      </c>
      <c r="U47" s="11">
        <f t="shared" si="2"/>
        <v>15.947368421052632</v>
      </c>
      <c r="V47" s="11">
        <f t="shared" si="2"/>
        <v>19.315789473684209</v>
      </c>
      <c r="W47" s="11">
        <f t="shared" si="2"/>
        <v>5.2631578947368425</v>
      </c>
      <c r="X47" s="11">
        <f t="shared" si="2"/>
        <v>3.2875000000000001</v>
      </c>
      <c r="Y47" s="11">
        <f t="shared" si="2"/>
        <v>3.5583333333333336</v>
      </c>
      <c r="Z47" s="11">
        <f t="shared" si="2"/>
        <v>2.9833333333333334</v>
      </c>
      <c r="AA47" s="11">
        <f t="shared" si="2"/>
        <v>3.4642857142499999</v>
      </c>
      <c r="AB47" s="11">
        <f t="shared" si="2"/>
        <v>3.55</v>
      </c>
      <c r="AC47" s="11"/>
      <c r="AD47" s="11"/>
    </row>
    <row r="48" spans="1:30">
      <c r="A48" s="5"/>
      <c r="C48" s="11">
        <f>_xlfn.STDEV.S(C24:C44)</f>
        <v>4.9631978938314951</v>
      </c>
      <c r="D48" s="11"/>
      <c r="E48" s="11">
        <f t="shared" ref="E48:AB48" si="3">_xlfn.STDEV.S(E24:E44)</f>
        <v>10.219961792864936</v>
      </c>
      <c r="F48" s="11">
        <f t="shared" si="3"/>
        <v>6.7326496588320541</v>
      </c>
      <c r="G48" s="11">
        <f t="shared" si="3"/>
        <v>7.9318526029097205</v>
      </c>
      <c r="H48" s="11">
        <f t="shared" si="3"/>
        <v>0.72575448793145225</v>
      </c>
      <c r="I48" s="11">
        <f t="shared" si="3"/>
        <v>0.78334177639489022</v>
      </c>
      <c r="J48" s="11">
        <f t="shared" si="3"/>
        <v>0.82375447095397658</v>
      </c>
      <c r="K48" s="11">
        <f t="shared" si="3"/>
        <v>0.76894599273767417</v>
      </c>
      <c r="L48" s="11">
        <f t="shared" si="3"/>
        <v>0.94425581683092907</v>
      </c>
      <c r="M48" s="11">
        <f t="shared" si="3"/>
        <v>12.451811878101077</v>
      </c>
      <c r="N48" s="11">
        <f t="shared" si="3"/>
        <v>7.7674534651540332</v>
      </c>
      <c r="O48" s="11">
        <f t="shared" si="3"/>
        <v>7.3659448041064532</v>
      </c>
      <c r="P48" s="11">
        <f t="shared" si="3"/>
        <v>0.67217466708347728</v>
      </c>
      <c r="Q48" s="11">
        <f t="shared" si="3"/>
        <v>0.71083824129755591</v>
      </c>
      <c r="R48" s="11">
        <f t="shared" si="3"/>
        <v>0.74517850565552557</v>
      </c>
      <c r="S48" s="11">
        <f t="shared" si="3"/>
        <v>0.75974395973495157</v>
      </c>
      <c r="T48" s="11">
        <f t="shared" si="3"/>
        <v>0.81952367117676905</v>
      </c>
      <c r="U48" s="11">
        <f t="shared" si="3"/>
        <v>4.5150819386009697</v>
      </c>
      <c r="V48" s="11">
        <f t="shared" si="3"/>
        <v>3.2838431343464274</v>
      </c>
      <c r="W48" s="11">
        <f t="shared" si="3"/>
        <v>2.8837110593268895</v>
      </c>
      <c r="X48" s="11">
        <f t="shared" si="3"/>
        <v>0.53970630414776632</v>
      </c>
      <c r="Y48" s="11">
        <f t="shared" si="3"/>
        <v>0.63124077203607365</v>
      </c>
      <c r="Z48" s="11">
        <f t="shared" si="3"/>
        <v>0.66644733234039411</v>
      </c>
      <c r="AA48" s="11">
        <f t="shared" si="3"/>
        <v>0.80128119746963244</v>
      </c>
      <c r="AB48" s="11">
        <f t="shared" si="3"/>
        <v>0.77832478675949479</v>
      </c>
      <c r="AC48" s="11"/>
      <c r="AD48" s="11"/>
    </row>
    <row r="49" spans="3:30">
      <c r="C49" s="6" t="s">
        <v>0</v>
      </c>
      <c r="E49" s="6" t="s">
        <v>18</v>
      </c>
      <c r="F49" s="6" t="s">
        <v>19</v>
      </c>
      <c r="G49" s="6" t="s">
        <v>20</v>
      </c>
      <c r="H49" s="6" t="s">
        <v>21</v>
      </c>
      <c r="I49" s="6" t="s">
        <v>50</v>
      </c>
      <c r="J49" s="6" t="s">
        <v>49</v>
      </c>
      <c r="K49" s="6" t="s">
        <v>22</v>
      </c>
      <c r="L49" s="6" t="s">
        <v>23</v>
      </c>
      <c r="M49" s="6" t="s">
        <v>24</v>
      </c>
      <c r="N49" s="6" t="s">
        <v>25</v>
      </c>
      <c r="O49" s="6" t="s">
        <v>26</v>
      </c>
      <c r="P49" s="6" t="s">
        <v>27</v>
      </c>
      <c r="Q49" s="6" t="s">
        <v>47</v>
      </c>
      <c r="R49" s="6" t="s">
        <v>48</v>
      </c>
      <c r="S49" s="6" t="s">
        <v>28</v>
      </c>
      <c r="T49" s="6" t="s">
        <v>29</v>
      </c>
      <c r="U49" s="6" t="s">
        <v>30</v>
      </c>
      <c r="V49" s="6" t="s">
        <v>31</v>
      </c>
      <c r="W49" s="6" t="s">
        <v>32</v>
      </c>
      <c r="X49" s="6" t="s">
        <v>33</v>
      </c>
      <c r="Y49" s="6" t="s">
        <v>44</v>
      </c>
      <c r="Z49" s="6" t="s">
        <v>45</v>
      </c>
      <c r="AA49" s="6" t="s">
        <v>34</v>
      </c>
      <c r="AB49" s="6" t="s">
        <v>35</v>
      </c>
      <c r="AC49" s="6" t="s">
        <v>1</v>
      </c>
      <c r="AD49" s="6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8730-6C4E-44BD-BD86-2412336C0C40}">
  <dimension ref="A1:AG49"/>
  <sheetViews>
    <sheetView workbookViewId="0">
      <selection activeCell="E1" sqref="E1:E1048576"/>
    </sheetView>
  </sheetViews>
  <sheetFormatPr defaultColWidth="8.85546875" defaultRowHeight="15"/>
  <cols>
    <col min="1" max="1" width="11" customWidth="1"/>
    <col min="5" max="19" width="11" customWidth="1"/>
    <col min="20" max="20" width="12.42578125" customWidth="1"/>
    <col min="21" max="24" width="11" customWidth="1"/>
    <col min="27" max="27" width="8.85546875" customWidth="1"/>
    <col min="29" max="29" width="12.28515625" customWidth="1"/>
    <col min="30" max="30" width="13.42578125" customWidth="1"/>
  </cols>
  <sheetData>
    <row r="1" spans="1:33">
      <c r="A1" s="7" t="s">
        <v>40</v>
      </c>
      <c r="B1" s="7" t="s">
        <v>43</v>
      </c>
      <c r="C1" t="s">
        <v>0</v>
      </c>
      <c r="D1" s="8" t="s">
        <v>36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50</v>
      </c>
      <c r="J1" s="7" t="s">
        <v>49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  <c r="P1" s="7" t="s">
        <v>27</v>
      </c>
      <c r="Q1" s="7" t="s">
        <v>47</v>
      </c>
      <c r="R1" s="7" t="s">
        <v>48</v>
      </c>
      <c r="S1" s="7" t="s">
        <v>28</v>
      </c>
      <c r="T1" s="7" t="s">
        <v>29</v>
      </c>
      <c r="U1" t="s">
        <v>3</v>
      </c>
      <c r="V1" t="s">
        <v>4</v>
      </c>
      <c r="W1" t="s">
        <v>58</v>
      </c>
      <c r="X1" t="s">
        <v>2</v>
      </c>
      <c r="Y1" s="8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15</v>
      </c>
      <c r="AF1" t="s">
        <v>16</v>
      </c>
      <c r="AG1" t="s">
        <v>17</v>
      </c>
    </row>
    <row r="2" spans="1:33">
      <c r="A2" s="8" t="s">
        <v>41</v>
      </c>
      <c r="B2" s="1">
        <v>1</v>
      </c>
      <c r="C2">
        <v>26</v>
      </c>
      <c r="D2">
        <v>1</v>
      </c>
      <c r="E2">
        <v>13</v>
      </c>
      <c r="F2">
        <v>20</v>
      </c>
      <c r="G2">
        <v>2</v>
      </c>
      <c r="H2" s="2">
        <v>2.0833333330000001</v>
      </c>
      <c r="I2" s="2">
        <v>2.8333333330000001</v>
      </c>
      <c r="J2" s="2">
        <v>4.6666666670000003</v>
      </c>
      <c r="K2" s="2">
        <v>3.28571428571429</v>
      </c>
      <c r="L2" s="1">
        <v>4</v>
      </c>
      <c r="M2">
        <v>11</v>
      </c>
      <c r="N2">
        <v>18</v>
      </c>
      <c r="O2">
        <v>3</v>
      </c>
      <c r="P2">
        <v>2.3333333333333335</v>
      </c>
      <c r="Q2">
        <v>3</v>
      </c>
      <c r="R2">
        <v>4.333333333333333</v>
      </c>
      <c r="S2" s="2">
        <v>3.0714285710000002</v>
      </c>
      <c r="T2" s="1">
        <v>3</v>
      </c>
      <c r="U2">
        <v>0.25</v>
      </c>
      <c r="V2">
        <v>-1</v>
      </c>
      <c r="W2">
        <v>42</v>
      </c>
      <c r="X2">
        <v>10</v>
      </c>
      <c r="Y2" s="4">
        <v>7.4773299999999999E-4</v>
      </c>
      <c r="Z2" s="4">
        <v>5.05081E-4</v>
      </c>
      <c r="AA2" s="4">
        <v>3.0139469999999999E-3</v>
      </c>
      <c r="AB2" s="4">
        <v>2.49118E-4</v>
      </c>
      <c r="AC2" s="4">
        <v>1.38147E-4</v>
      </c>
      <c r="AD2" s="4">
        <v>1.7401600000000001E-4</v>
      </c>
      <c r="AE2" s="4">
        <v>-4.9861600000000001E-4</v>
      </c>
      <c r="AF2" s="4">
        <v>-3.6693400000000002E-4</v>
      </c>
      <c r="AG2" s="4">
        <v>-2.839931E-3</v>
      </c>
    </row>
    <row r="3" spans="1:33">
      <c r="A3" s="8" t="s">
        <v>41</v>
      </c>
      <c r="B3" s="1">
        <v>1</v>
      </c>
      <c r="C3">
        <v>27</v>
      </c>
      <c r="D3">
        <v>2</v>
      </c>
      <c r="E3">
        <v>15</v>
      </c>
      <c r="F3">
        <v>21</v>
      </c>
      <c r="G3">
        <v>2</v>
      </c>
      <c r="H3" s="2">
        <v>2.8333333330000001</v>
      </c>
      <c r="I3" s="2">
        <v>3</v>
      </c>
      <c r="J3" s="2">
        <v>3.3333333330000001</v>
      </c>
      <c r="K3" s="2">
        <v>2.5714285714285716</v>
      </c>
      <c r="L3" s="1">
        <v>2.8</v>
      </c>
      <c r="M3">
        <v>13</v>
      </c>
      <c r="N3">
        <v>19</v>
      </c>
      <c r="O3">
        <v>0</v>
      </c>
      <c r="P3">
        <v>3.25</v>
      </c>
      <c r="Q3">
        <v>3.3333333333333335</v>
      </c>
      <c r="R3">
        <v>2.8333333333333335</v>
      </c>
      <c r="S3" s="2">
        <v>2.4285714289999998</v>
      </c>
      <c r="T3" s="1">
        <v>2.4</v>
      </c>
      <c r="U3">
        <v>0.42</v>
      </c>
      <c r="V3">
        <v>-0.4</v>
      </c>
      <c r="W3">
        <v>60</v>
      </c>
      <c r="X3">
        <v>10</v>
      </c>
      <c r="Y3" s="4">
        <v>3.5100000000000002E-4</v>
      </c>
      <c r="Z3" s="4">
        <v>2.6600000000000001E-4</v>
      </c>
      <c r="AA3" s="4">
        <v>1.7105199999999999E-4</v>
      </c>
      <c r="AB3" s="4">
        <v>1.9100000000000001E-4</v>
      </c>
      <c r="AC3" s="4">
        <v>7.4999999999999993E-5</v>
      </c>
      <c r="AD3" s="4">
        <v>1.85E-4</v>
      </c>
      <c r="AE3" s="4">
        <v>-1.6000000000000001E-4</v>
      </c>
      <c r="AF3" s="4">
        <v>-1.9100000000000001E-4</v>
      </c>
      <c r="AG3" s="4">
        <v>1.4399999999999999E-5</v>
      </c>
    </row>
    <row r="4" spans="1:33">
      <c r="A4" s="8" t="s">
        <v>41</v>
      </c>
      <c r="B4" s="1">
        <v>1</v>
      </c>
      <c r="C4">
        <v>24</v>
      </c>
      <c r="D4">
        <v>1</v>
      </c>
      <c r="E4">
        <v>18</v>
      </c>
      <c r="F4">
        <v>20</v>
      </c>
      <c r="G4">
        <v>5</v>
      </c>
      <c r="H4" s="2">
        <v>2.25</v>
      </c>
      <c r="I4" s="2">
        <v>2.5</v>
      </c>
      <c r="J4" s="2">
        <v>4</v>
      </c>
      <c r="K4" s="2">
        <v>2.7142857142857144</v>
      </c>
      <c r="L4" s="1">
        <v>2.6</v>
      </c>
      <c r="M4">
        <v>17</v>
      </c>
      <c r="N4">
        <v>22</v>
      </c>
      <c r="O4">
        <v>4</v>
      </c>
      <c r="P4">
        <v>2.9166666666666665</v>
      </c>
      <c r="Q4">
        <v>3.1666666666666665</v>
      </c>
      <c r="R4">
        <v>3.3333333333333335</v>
      </c>
      <c r="S4" s="2">
        <v>4.6428571429999996</v>
      </c>
      <c r="T4" s="1">
        <v>4.5999999999999996</v>
      </c>
      <c r="U4">
        <v>0.67</v>
      </c>
      <c r="V4">
        <v>2</v>
      </c>
      <c r="W4">
        <v>60</v>
      </c>
      <c r="X4">
        <v>10</v>
      </c>
      <c r="Y4" s="4">
        <v>6.2103099999999997E-4</v>
      </c>
      <c r="Z4" s="4">
        <v>4.1413499999999999E-4</v>
      </c>
      <c r="AA4" s="4">
        <v>2.33E-3</v>
      </c>
      <c r="AB4" s="4">
        <v>2.31017E-4</v>
      </c>
      <c r="AC4" s="4">
        <v>1.4999499999999999E-4</v>
      </c>
      <c r="AD4" s="4">
        <v>1.08E-3</v>
      </c>
      <c r="AE4" s="4">
        <v>-3.90014E-4</v>
      </c>
      <c r="AF4" s="4">
        <v>-2.6413899999999999E-4</v>
      </c>
      <c r="AG4" s="4">
        <v>-1.25E-3</v>
      </c>
    </row>
    <row r="5" spans="1:33">
      <c r="A5" s="8" t="s">
        <v>41</v>
      </c>
      <c r="B5" s="1">
        <v>1</v>
      </c>
      <c r="C5">
        <v>27</v>
      </c>
      <c r="D5">
        <v>1</v>
      </c>
      <c r="E5">
        <v>15</v>
      </c>
      <c r="F5">
        <v>24</v>
      </c>
      <c r="G5">
        <v>5</v>
      </c>
      <c r="H5" s="2">
        <v>2.5833333330000001</v>
      </c>
      <c r="I5" s="2">
        <v>3</v>
      </c>
      <c r="J5" s="2">
        <v>3.8333333330000001</v>
      </c>
      <c r="K5" s="2">
        <v>3.1428571428571428</v>
      </c>
      <c r="L5" s="1">
        <v>2.8</v>
      </c>
      <c r="M5">
        <v>16</v>
      </c>
      <c r="N5">
        <v>23</v>
      </c>
      <c r="O5">
        <v>6</v>
      </c>
      <c r="P5">
        <v>2.1666666666666665</v>
      </c>
      <c r="Q5">
        <v>2.5</v>
      </c>
      <c r="R5">
        <v>4.166666666666667</v>
      </c>
      <c r="S5" s="2">
        <v>3.2857142860000002</v>
      </c>
      <c r="T5" s="1">
        <v>3</v>
      </c>
      <c r="U5">
        <v>-0.41</v>
      </c>
      <c r="V5">
        <v>0.2</v>
      </c>
      <c r="W5">
        <v>19</v>
      </c>
      <c r="X5">
        <v>6</v>
      </c>
      <c r="Y5" s="4">
        <v>1.0399999999999999E-3</v>
      </c>
      <c r="Z5" s="4">
        <v>1.9179900000000001E-4</v>
      </c>
      <c r="AA5" s="4">
        <v>3.3400000000000001E-3</v>
      </c>
      <c r="AB5" s="4">
        <v>9.0199999999999997E-5</v>
      </c>
      <c r="AC5" s="4">
        <v>4.7512999999999999E-4</v>
      </c>
      <c r="AD5" s="4">
        <v>1.01E-4</v>
      </c>
      <c r="AE5" s="4">
        <v>-9.4880300000000002E-4</v>
      </c>
      <c r="AF5" s="4">
        <v>2.83331E-4</v>
      </c>
      <c r="AG5" s="4">
        <v>-3.235417E-3</v>
      </c>
    </row>
    <row r="6" spans="1:33">
      <c r="A6" s="8" t="s">
        <v>41</v>
      </c>
      <c r="B6" s="1">
        <v>1</v>
      </c>
      <c r="C6">
        <v>25</v>
      </c>
      <c r="D6">
        <v>2</v>
      </c>
      <c r="E6">
        <v>18</v>
      </c>
      <c r="F6">
        <v>25</v>
      </c>
      <c r="G6">
        <v>3</v>
      </c>
      <c r="H6" s="2">
        <v>2.8333333330000001</v>
      </c>
      <c r="I6" s="2">
        <v>3.5</v>
      </c>
      <c r="J6" s="2">
        <v>3.8333333330000001</v>
      </c>
      <c r="K6" s="2">
        <v>3.5714285714285716</v>
      </c>
      <c r="L6" s="1">
        <v>3</v>
      </c>
      <c r="M6">
        <v>10</v>
      </c>
      <c r="N6">
        <v>25</v>
      </c>
      <c r="O6">
        <v>0</v>
      </c>
      <c r="P6">
        <v>3.5</v>
      </c>
      <c r="Q6">
        <v>4.1666666666666696</v>
      </c>
      <c r="R6">
        <v>3.1666666666666665</v>
      </c>
      <c r="S6" s="2">
        <v>4.1428571429999996</v>
      </c>
      <c r="T6" s="1">
        <v>4.2</v>
      </c>
      <c r="U6">
        <v>0.67</v>
      </c>
      <c r="V6">
        <v>1.2</v>
      </c>
      <c r="W6">
        <v>60</v>
      </c>
      <c r="X6">
        <v>10</v>
      </c>
      <c r="Y6" s="4">
        <v>3.0128400000000002E-4</v>
      </c>
      <c r="Z6" s="4">
        <v>7.0321200000000004E-4</v>
      </c>
      <c r="AA6" s="4">
        <v>8.0896600000000005E-4</v>
      </c>
      <c r="AB6" s="4">
        <v>3.9565999999999999E-4</v>
      </c>
      <c r="AC6" s="4">
        <v>2.7061099999999997E-4</v>
      </c>
      <c r="AD6" s="4">
        <v>8.8744400000000004E-4</v>
      </c>
      <c r="AE6" s="4">
        <v>9.4400000000000004E-5</v>
      </c>
      <c r="AF6" s="4">
        <v>-4.3260100000000001E-4</v>
      </c>
      <c r="AG6" s="4">
        <v>7.8499999999999997E-5</v>
      </c>
    </row>
    <row r="7" spans="1:33">
      <c r="A7" s="8" t="s">
        <v>41</v>
      </c>
      <c r="B7" s="1">
        <v>1</v>
      </c>
      <c r="C7">
        <v>32</v>
      </c>
      <c r="D7">
        <v>2</v>
      </c>
      <c r="E7">
        <v>14</v>
      </c>
      <c r="F7">
        <v>21</v>
      </c>
      <c r="G7">
        <v>0</v>
      </c>
      <c r="H7" s="2">
        <v>3.0833333330000001</v>
      </c>
      <c r="I7" s="2">
        <v>4</v>
      </c>
      <c r="J7" s="2">
        <v>3.8333333330000001</v>
      </c>
      <c r="K7" s="2">
        <v>4.7142857142857144</v>
      </c>
      <c r="L7" s="1">
        <v>4</v>
      </c>
      <c r="M7">
        <v>12</v>
      </c>
      <c r="N7">
        <v>21</v>
      </c>
      <c r="O7">
        <v>1</v>
      </c>
      <c r="P7">
        <v>3.4166666666666665</v>
      </c>
      <c r="Q7">
        <v>3.6666666666666665</v>
      </c>
      <c r="R7">
        <v>2.8333333333333335</v>
      </c>
      <c r="S7" s="2">
        <v>5.0714285710000002</v>
      </c>
      <c r="T7" s="1">
        <v>5</v>
      </c>
      <c r="U7">
        <v>0.34</v>
      </c>
      <c r="V7">
        <v>1</v>
      </c>
      <c r="W7">
        <v>28</v>
      </c>
      <c r="X7">
        <v>9</v>
      </c>
      <c r="Y7" s="4">
        <v>-2.97E-5</v>
      </c>
      <c r="Z7" s="4">
        <v>1.36E-4</v>
      </c>
      <c r="AA7" s="4">
        <v>1.3799999999999999E-3</v>
      </c>
      <c r="AB7" s="4">
        <v>1.2E-4</v>
      </c>
      <c r="AC7" s="4">
        <v>3.93E-5</v>
      </c>
      <c r="AD7" s="4">
        <v>-8.7899999999999995E-5</v>
      </c>
      <c r="AE7" s="4">
        <v>1.4999999999999999E-4</v>
      </c>
      <c r="AF7" s="4">
        <v>-9.6899999999999997E-5</v>
      </c>
      <c r="AG7" s="4">
        <v>-1.470131E-3</v>
      </c>
    </row>
    <row r="8" spans="1:33">
      <c r="A8" s="8" t="s">
        <v>41</v>
      </c>
      <c r="B8" s="1">
        <v>1</v>
      </c>
      <c r="C8">
        <v>35</v>
      </c>
      <c r="D8">
        <v>2</v>
      </c>
      <c r="E8">
        <v>16</v>
      </c>
      <c r="F8">
        <v>23</v>
      </c>
      <c r="G8">
        <v>3</v>
      </c>
      <c r="H8" s="2">
        <v>2.5833333330000001</v>
      </c>
      <c r="I8" s="2">
        <v>3.1666666669999999</v>
      </c>
      <c r="J8" s="2">
        <v>4</v>
      </c>
      <c r="K8" s="2">
        <v>1.9285714285714286</v>
      </c>
      <c r="L8" s="1">
        <v>1.8</v>
      </c>
      <c r="M8">
        <v>21</v>
      </c>
      <c r="N8">
        <v>21</v>
      </c>
      <c r="O8">
        <v>6</v>
      </c>
      <c r="P8">
        <v>3</v>
      </c>
      <c r="Q8">
        <v>3.6666666666666665</v>
      </c>
      <c r="R8">
        <v>3.6666666666666665</v>
      </c>
      <c r="S8" s="2">
        <v>2.7857142860000002</v>
      </c>
      <c r="T8" s="1">
        <v>3.4</v>
      </c>
      <c r="U8">
        <v>0.42</v>
      </c>
      <c r="V8">
        <v>1.6</v>
      </c>
      <c r="W8">
        <v>60</v>
      </c>
      <c r="X8">
        <v>9</v>
      </c>
      <c r="Y8" s="4">
        <v>2.4199999999999999E-5</v>
      </c>
      <c r="Z8" s="4">
        <v>4.2000000000000002E-4</v>
      </c>
      <c r="AA8" s="4">
        <v>3.64E-3</v>
      </c>
      <c r="AB8" s="4">
        <v>5.0899999999999997E-5</v>
      </c>
      <c r="AC8" s="4">
        <v>1.4153899999999999E-4</v>
      </c>
      <c r="AD8" s="4">
        <v>2.2499999999999999E-4</v>
      </c>
      <c r="AE8" s="4">
        <v>2.6699999999999998E-5</v>
      </c>
      <c r="AF8" s="4">
        <v>-2.7850800000000001E-4</v>
      </c>
      <c r="AG8" s="4">
        <v>-3.4099999999999998E-3</v>
      </c>
    </row>
    <row r="9" spans="1:33">
      <c r="A9" s="8" t="s">
        <v>41</v>
      </c>
      <c r="B9" s="1">
        <v>1</v>
      </c>
      <c r="C9">
        <v>27</v>
      </c>
      <c r="D9">
        <v>1</v>
      </c>
      <c r="E9">
        <v>24</v>
      </c>
      <c r="F9">
        <v>15</v>
      </c>
      <c r="G9">
        <v>11</v>
      </c>
      <c r="H9" s="2">
        <v>2.5</v>
      </c>
      <c r="I9" s="2">
        <v>2.6666666669999999</v>
      </c>
      <c r="J9" s="2">
        <v>3.6666666669999999</v>
      </c>
      <c r="K9" s="2">
        <v>2.78571428571429</v>
      </c>
      <c r="L9" s="1">
        <v>2.4</v>
      </c>
      <c r="M9">
        <v>24</v>
      </c>
      <c r="N9">
        <v>14</v>
      </c>
      <c r="O9">
        <v>13</v>
      </c>
      <c r="P9">
        <v>2.75</v>
      </c>
      <c r="Q9">
        <v>3.1666666666666665</v>
      </c>
      <c r="R9">
        <v>3.6666666666666665</v>
      </c>
      <c r="S9" s="2">
        <v>3.1428571430000001</v>
      </c>
      <c r="T9" s="1">
        <v>3</v>
      </c>
      <c r="U9">
        <v>0.25</v>
      </c>
      <c r="V9">
        <v>0.6</v>
      </c>
      <c r="W9">
        <v>16</v>
      </c>
      <c r="X9">
        <v>6</v>
      </c>
      <c r="Y9" s="4">
        <v>5.3700000000000004E-4</v>
      </c>
      <c r="Z9" s="4">
        <v>3.88E-4</v>
      </c>
      <c r="AA9" s="4">
        <v>5.1099999999999995E-4</v>
      </c>
      <c r="AB9" s="4">
        <v>6.1400000000000002E-5</v>
      </c>
      <c r="AC9" s="4">
        <v>7.75E-5</v>
      </c>
      <c r="AD9" s="4">
        <v>1.07E-4</v>
      </c>
      <c r="AE9" s="4">
        <v>-4.7560400000000002E-4</v>
      </c>
      <c r="AF9" s="4">
        <v>-3.1079000000000002E-4</v>
      </c>
      <c r="AG9" s="4">
        <v>-4.0400000000000001E-4</v>
      </c>
    </row>
    <row r="10" spans="1:33">
      <c r="A10" s="8" t="s">
        <v>41</v>
      </c>
      <c r="B10" s="1">
        <v>1</v>
      </c>
      <c r="C10">
        <v>26</v>
      </c>
      <c r="D10">
        <v>1</v>
      </c>
      <c r="E10">
        <v>22</v>
      </c>
      <c r="F10">
        <v>20</v>
      </c>
      <c r="G10">
        <v>12</v>
      </c>
      <c r="H10" s="2">
        <v>3.3333333330000001</v>
      </c>
      <c r="I10" s="2">
        <v>3.5</v>
      </c>
      <c r="J10" s="2">
        <v>2.8333333330000001</v>
      </c>
      <c r="K10" s="2">
        <v>3.0714285714285716</v>
      </c>
      <c r="L10" s="1">
        <v>2.2000000000000002</v>
      </c>
      <c r="M10">
        <v>23</v>
      </c>
      <c r="N10">
        <v>27</v>
      </c>
      <c r="O10">
        <v>6</v>
      </c>
      <c r="P10">
        <v>3.5</v>
      </c>
      <c r="Q10">
        <v>4</v>
      </c>
      <c r="R10">
        <v>3</v>
      </c>
      <c r="S10" s="2">
        <v>3.9285714289999998</v>
      </c>
      <c r="T10" s="1">
        <v>4</v>
      </c>
      <c r="U10">
        <v>0.17</v>
      </c>
      <c r="V10">
        <v>1.8</v>
      </c>
      <c r="W10">
        <v>31</v>
      </c>
      <c r="X10">
        <v>10</v>
      </c>
      <c r="Y10" s="4">
        <v>6.7199999999999994E-5</v>
      </c>
      <c r="Z10" s="4">
        <v>-5.0599999999999997E-5</v>
      </c>
      <c r="AA10" s="4">
        <v>4.2200000000000001E-4</v>
      </c>
      <c r="AB10" s="4">
        <v>3.0800000000000001E-4</v>
      </c>
      <c r="AC10" s="4">
        <v>6.1299999999999999E-5</v>
      </c>
      <c r="AD10" s="4">
        <v>9.6699999999999998E-4</v>
      </c>
      <c r="AE10" s="4">
        <v>2.4108800000000001E-4</v>
      </c>
      <c r="AF10" s="4">
        <v>1.11916E-4</v>
      </c>
      <c r="AG10" s="4">
        <v>5.4500000000000002E-4</v>
      </c>
    </row>
    <row r="11" spans="1:33">
      <c r="A11" s="8" t="s">
        <v>41</v>
      </c>
      <c r="B11" s="1">
        <v>1</v>
      </c>
      <c r="C11">
        <v>28</v>
      </c>
      <c r="D11">
        <v>1</v>
      </c>
      <c r="E11">
        <v>15</v>
      </c>
      <c r="F11">
        <v>22</v>
      </c>
      <c r="G11">
        <v>7</v>
      </c>
      <c r="H11" s="2">
        <v>2.5</v>
      </c>
      <c r="I11" s="2">
        <v>2.8333333330000001</v>
      </c>
      <c r="J11" s="2">
        <v>3.8333333330000001</v>
      </c>
      <c r="K11" s="2">
        <v>2.1428571428571428</v>
      </c>
      <c r="L11" s="1">
        <v>1.6</v>
      </c>
      <c r="M11">
        <v>9</v>
      </c>
      <c r="N11">
        <v>22</v>
      </c>
      <c r="O11">
        <v>5</v>
      </c>
      <c r="P11">
        <v>2.9166666666666665</v>
      </c>
      <c r="Q11">
        <v>3.5</v>
      </c>
      <c r="R11">
        <v>3.6666666666666665</v>
      </c>
      <c r="S11" s="2">
        <v>1.7857142859999999</v>
      </c>
      <c r="T11" s="1">
        <v>1.2</v>
      </c>
      <c r="U11">
        <v>0.42</v>
      </c>
      <c r="V11">
        <v>-0.4</v>
      </c>
      <c r="W11">
        <v>12</v>
      </c>
      <c r="X11">
        <v>7</v>
      </c>
      <c r="Y11" s="4">
        <v>2.37E-5</v>
      </c>
      <c r="Z11" s="4">
        <v>2.9300000000000001E-5</v>
      </c>
      <c r="AA11" s="4">
        <v>1.3999999999999999E-4</v>
      </c>
      <c r="AB11" s="4">
        <v>-6.6400000000000001E-5</v>
      </c>
      <c r="AC11" s="4">
        <v>-1.74E-4</v>
      </c>
      <c r="AD11" s="4">
        <v>3.8000000000000002E-4</v>
      </c>
      <c r="AE11" s="4">
        <v>-9.0000000000000006E-5</v>
      </c>
      <c r="AF11" s="4">
        <v>-2.0293399999999999E-4</v>
      </c>
      <c r="AG11" s="4">
        <v>2.4000000000000001E-4</v>
      </c>
    </row>
    <row r="12" spans="1:33">
      <c r="A12" s="8" t="s">
        <v>41</v>
      </c>
      <c r="B12" s="1">
        <v>1</v>
      </c>
      <c r="C12">
        <v>23</v>
      </c>
      <c r="D12">
        <v>2</v>
      </c>
      <c r="E12">
        <v>17</v>
      </c>
      <c r="F12">
        <v>19</v>
      </c>
      <c r="G12">
        <v>0</v>
      </c>
      <c r="H12" s="2">
        <v>3.1666666669999999</v>
      </c>
      <c r="I12" s="2">
        <v>2.8333333330000001</v>
      </c>
      <c r="J12" s="2">
        <v>2.5</v>
      </c>
      <c r="K12" s="2">
        <v>3.5714285714285716</v>
      </c>
      <c r="L12" s="1">
        <v>3</v>
      </c>
      <c r="M12">
        <v>15</v>
      </c>
      <c r="N12">
        <v>21</v>
      </c>
      <c r="O12">
        <v>0</v>
      </c>
      <c r="P12">
        <v>3.75</v>
      </c>
      <c r="Q12">
        <v>3.3333333333333335</v>
      </c>
      <c r="R12">
        <v>1.8333333333333333</v>
      </c>
      <c r="S12" s="2">
        <v>3.3571428569999999</v>
      </c>
      <c r="T12" s="1">
        <v>3</v>
      </c>
      <c r="U12">
        <v>0.57999999999999996</v>
      </c>
      <c r="V12">
        <v>0</v>
      </c>
      <c r="W12">
        <v>27</v>
      </c>
      <c r="X12">
        <v>9</v>
      </c>
      <c r="Y12" s="4">
        <v>1.83E-4</v>
      </c>
      <c r="Z12" s="4">
        <v>4.0900000000000002E-4</v>
      </c>
      <c r="AA12" s="4">
        <v>4.0535700000000002E-4</v>
      </c>
      <c r="AB12" s="4">
        <v>1.4613000000000001E-4</v>
      </c>
      <c r="AC12" s="4">
        <v>1.0144700000000001E-4</v>
      </c>
      <c r="AD12" s="4">
        <v>3.8465400000000001E-4</v>
      </c>
      <c r="AE12" s="4">
        <v>-3.6399999999999997E-5</v>
      </c>
      <c r="AF12" s="4">
        <v>-3.0756400000000003E-4</v>
      </c>
      <c r="AG12" s="4">
        <v>-2.0699999999999998E-5</v>
      </c>
    </row>
    <row r="13" spans="1:33">
      <c r="A13" s="8" t="s">
        <v>41</v>
      </c>
      <c r="B13" s="1">
        <v>1</v>
      </c>
      <c r="C13">
        <v>28</v>
      </c>
      <c r="D13">
        <v>2</v>
      </c>
      <c r="E13">
        <v>20</v>
      </c>
      <c r="F13">
        <v>14</v>
      </c>
      <c r="G13">
        <v>10</v>
      </c>
      <c r="H13" s="2">
        <v>1.9166666670000001</v>
      </c>
      <c r="I13" s="2">
        <v>2</v>
      </c>
      <c r="J13" s="2">
        <v>4.1666666670000003</v>
      </c>
      <c r="K13" s="2">
        <v>2.6428571428571428</v>
      </c>
      <c r="L13" s="1">
        <v>2.2000000000000002</v>
      </c>
      <c r="M13">
        <v>19</v>
      </c>
      <c r="N13">
        <v>17</v>
      </c>
      <c r="O13">
        <v>1</v>
      </c>
      <c r="P13">
        <v>2.5</v>
      </c>
      <c r="Q13">
        <v>3.5</v>
      </c>
      <c r="R13">
        <v>4.5</v>
      </c>
      <c r="S13" s="2">
        <v>2.9285714289999998</v>
      </c>
      <c r="T13" s="1">
        <v>2.6</v>
      </c>
      <c r="U13">
        <v>0.57999999999999996</v>
      </c>
      <c r="V13">
        <v>0.4</v>
      </c>
      <c r="W13">
        <v>56</v>
      </c>
      <c r="X13">
        <v>10</v>
      </c>
      <c r="Y13" s="4">
        <v>4.4000000000000002E-4</v>
      </c>
      <c r="Z13" s="4">
        <v>2.7300000000000002E-4</v>
      </c>
      <c r="AA13" s="4">
        <v>9.990000000000001E-4</v>
      </c>
      <c r="AB13" s="4">
        <v>5.0169199999999998E-4</v>
      </c>
      <c r="AC13" s="4">
        <v>4.7800000000000003E-5</v>
      </c>
      <c r="AD13" s="4">
        <v>8.2899999999999998E-4</v>
      </c>
      <c r="AE13" s="4">
        <v>6.1600000000000007E-5</v>
      </c>
      <c r="AF13" s="4">
        <v>-2.2499999999999999E-4</v>
      </c>
      <c r="AG13" s="4">
        <v>-1.6899999999999999E-4</v>
      </c>
    </row>
    <row r="14" spans="1:33">
      <c r="A14" s="8" t="s">
        <v>41</v>
      </c>
      <c r="B14" s="1">
        <v>1</v>
      </c>
      <c r="C14">
        <v>29</v>
      </c>
      <c r="D14">
        <v>1</v>
      </c>
      <c r="E14">
        <v>11</v>
      </c>
      <c r="F14">
        <v>15</v>
      </c>
      <c r="G14">
        <v>7</v>
      </c>
      <c r="H14" s="2">
        <v>2.8333333330000001</v>
      </c>
      <c r="I14" s="2">
        <v>2.6666666669999999</v>
      </c>
      <c r="J14" s="2">
        <v>3</v>
      </c>
      <c r="K14" s="2">
        <v>3</v>
      </c>
      <c r="L14" s="1">
        <v>3.6</v>
      </c>
      <c r="M14">
        <v>20</v>
      </c>
      <c r="N14">
        <v>19</v>
      </c>
      <c r="O14">
        <v>12</v>
      </c>
      <c r="P14">
        <v>3.1666666666666665</v>
      </c>
      <c r="Q14">
        <v>3</v>
      </c>
      <c r="R14">
        <v>2.6666666666666665</v>
      </c>
      <c r="S14" s="2">
        <v>3.0714285710000002</v>
      </c>
      <c r="T14" s="1">
        <v>3.6</v>
      </c>
      <c r="U14">
        <v>0.34</v>
      </c>
      <c r="V14">
        <v>0</v>
      </c>
      <c r="W14">
        <v>59</v>
      </c>
      <c r="X14">
        <v>10</v>
      </c>
      <c r="Y14" s="4">
        <v>5.3999999999999998E-5</v>
      </c>
      <c r="Z14" s="4">
        <v>3.79E-5</v>
      </c>
      <c r="AA14" s="4">
        <v>4.88E-5</v>
      </c>
      <c r="AB14" s="4">
        <v>2.0900000000000001E-4</v>
      </c>
      <c r="AC14" s="4">
        <v>3.8099999999999998E-5</v>
      </c>
      <c r="AD14" s="4">
        <v>1.37E-4</v>
      </c>
      <c r="AE14" s="4">
        <v>1.55E-4</v>
      </c>
      <c r="AF14" s="4">
        <v>2.4200000000000002E-7</v>
      </c>
      <c r="AG14" s="4">
        <v>8.7800000000000006E-5</v>
      </c>
    </row>
    <row r="15" spans="1:33">
      <c r="A15" s="8" t="s">
        <v>41</v>
      </c>
      <c r="B15" s="1">
        <v>1</v>
      </c>
      <c r="C15">
        <v>32</v>
      </c>
      <c r="D15">
        <v>1</v>
      </c>
      <c r="E15">
        <v>7</v>
      </c>
      <c r="F15">
        <v>20</v>
      </c>
      <c r="G15">
        <v>7</v>
      </c>
      <c r="H15" s="2">
        <v>4</v>
      </c>
      <c r="I15" s="2">
        <v>4.3333333329999997</v>
      </c>
      <c r="J15" s="2">
        <v>2.3333333330000001</v>
      </c>
      <c r="K15" s="2">
        <v>3.78571428571429</v>
      </c>
      <c r="L15" s="1">
        <v>4.2</v>
      </c>
      <c r="M15">
        <v>8</v>
      </c>
      <c r="N15">
        <v>23</v>
      </c>
      <c r="O15">
        <v>4</v>
      </c>
      <c r="P15">
        <v>3.25</v>
      </c>
      <c r="Q15">
        <v>3.3333333333333335</v>
      </c>
      <c r="R15">
        <v>2.8333333333333335</v>
      </c>
      <c r="S15" s="2">
        <v>3.5</v>
      </c>
      <c r="T15" s="1">
        <v>3.8</v>
      </c>
      <c r="U15">
        <v>-0.75</v>
      </c>
      <c r="V15">
        <v>-0.4</v>
      </c>
      <c r="W15">
        <v>45</v>
      </c>
      <c r="X15">
        <v>10</v>
      </c>
      <c r="Y15" s="4">
        <v>6.9200000000000002E-5</v>
      </c>
      <c r="Z15" s="4">
        <v>1.4100000000000001E-4</v>
      </c>
      <c r="AA15" s="4">
        <v>2.32E-4</v>
      </c>
      <c r="AB15" s="4">
        <v>1.4100000000000001E-4</v>
      </c>
      <c r="AC15" s="4">
        <v>1.8193699999999999E-4</v>
      </c>
      <c r="AD15" s="4">
        <v>6.5284200000000005E-4</v>
      </c>
      <c r="AE15" s="4">
        <v>7.1699999999999995E-5</v>
      </c>
      <c r="AF15" s="4">
        <v>4.1199999999999999E-5</v>
      </c>
      <c r="AG15" s="4">
        <v>4.2099999999999999E-4</v>
      </c>
    </row>
    <row r="16" spans="1:33">
      <c r="A16" s="8" t="s">
        <v>41</v>
      </c>
      <c r="B16" s="1">
        <v>1</v>
      </c>
      <c r="C16">
        <v>28</v>
      </c>
      <c r="D16">
        <v>2</v>
      </c>
      <c r="E16">
        <v>12</v>
      </c>
      <c r="F16">
        <v>28</v>
      </c>
      <c r="G16">
        <v>5</v>
      </c>
      <c r="H16" s="2">
        <v>1.5833333329999999</v>
      </c>
      <c r="I16" s="2">
        <v>2</v>
      </c>
      <c r="J16" s="2">
        <v>4.8333333329999997</v>
      </c>
      <c r="K16" s="2">
        <v>2.5714285714285716</v>
      </c>
      <c r="L16" s="1">
        <v>2</v>
      </c>
      <c r="M16">
        <v>15</v>
      </c>
      <c r="N16">
        <v>30</v>
      </c>
      <c r="O16">
        <v>5</v>
      </c>
      <c r="P16">
        <v>2.1666666666666665</v>
      </c>
      <c r="Q16">
        <v>3</v>
      </c>
      <c r="R16">
        <v>4.666666666666667</v>
      </c>
      <c r="S16" s="2">
        <v>2.6428571430000001</v>
      </c>
      <c r="T16" s="1">
        <v>2.4</v>
      </c>
      <c r="U16">
        <v>0.59</v>
      </c>
      <c r="V16">
        <v>0.4</v>
      </c>
      <c r="W16">
        <v>60</v>
      </c>
      <c r="X16">
        <v>10</v>
      </c>
      <c r="Y16" s="4">
        <v>1.8895300000000001E-4</v>
      </c>
      <c r="Z16" s="4">
        <v>-3.7499999999999997E-5</v>
      </c>
      <c r="AA16" s="4">
        <v>4.37E-4</v>
      </c>
      <c r="AB16" s="4">
        <v>3.1500000000000001E-4</v>
      </c>
      <c r="AC16" s="4">
        <v>5.3600000000000002E-4</v>
      </c>
      <c r="AD16" s="4">
        <v>-3.8600000000000001E-3</v>
      </c>
      <c r="AE16" s="4">
        <v>1.2606499999999999E-4</v>
      </c>
      <c r="AF16" s="4">
        <v>5.7384799999999996E-4</v>
      </c>
      <c r="AG16" s="4">
        <v>-4.3002600000000002E-3</v>
      </c>
    </row>
    <row r="17" spans="1:33">
      <c r="A17" s="8" t="s">
        <v>42</v>
      </c>
      <c r="B17" s="1">
        <v>2</v>
      </c>
      <c r="C17">
        <v>34</v>
      </c>
      <c r="D17">
        <v>1</v>
      </c>
      <c r="E17">
        <v>11</v>
      </c>
      <c r="F17">
        <v>41</v>
      </c>
      <c r="G17">
        <v>23</v>
      </c>
      <c r="H17" s="1">
        <v>2.5833333330000001</v>
      </c>
      <c r="I17" s="1">
        <v>3.5</v>
      </c>
      <c r="J17" s="1">
        <v>4.3333333329999997</v>
      </c>
      <c r="K17">
        <v>3.2142857142857144</v>
      </c>
      <c r="L17">
        <v>3.4</v>
      </c>
      <c r="M17">
        <v>13</v>
      </c>
      <c r="N17">
        <v>45</v>
      </c>
      <c r="O17">
        <v>20</v>
      </c>
      <c r="P17">
        <v>3.4166666666666665</v>
      </c>
      <c r="Q17">
        <v>3.8333333333333335</v>
      </c>
      <c r="R17">
        <v>3</v>
      </c>
      <c r="S17" s="1">
        <v>3.5714285714285716</v>
      </c>
      <c r="T17" s="1">
        <v>3.6</v>
      </c>
      <c r="U17">
        <v>0.84</v>
      </c>
      <c r="V17">
        <v>0.2</v>
      </c>
      <c r="Y17" s="4">
        <v>2.7819100000000001E-4</v>
      </c>
      <c r="Z17" s="4">
        <v>4.6E-5</v>
      </c>
      <c r="AA17" s="4">
        <v>-7.5533900000000005E-4</v>
      </c>
      <c r="AB17" s="4">
        <v>2.58662E-4</v>
      </c>
      <c r="AC17" s="4">
        <v>2.52E-4</v>
      </c>
      <c r="AD17" s="4">
        <v>2.5324199999999999E-4</v>
      </c>
      <c r="AE17" s="4">
        <v>-1.95E-5</v>
      </c>
      <c r="AF17" s="4">
        <v>2.0636299999999999E-4</v>
      </c>
      <c r="AG17" s="4">
        <v>1.0085809999999999E-3</v>
      </c>
    </row>
    <row r="18" spans="1:33">
      <c r="A18" s="8" t="s">
        <v>42</v>
      </c>
      <c r="B18" s="1">
        <v>2</v>
      </c>
      <c r="C18">
        <v>27</v>
      </c>
      <c r="D18">
        <v>2</v>
      </c>
      <c r="E18">
        <v>35</v>
      </c>
      <c r="F18">
        <v>38</v>
      </c>
      <c r="G18">
        <v>9</v>
      </c>
      <c r="H18" s="1">
        <v>2.1666666669999999</v>
      </c>
      <c r="I18" s="1">
        <v>2.6666666669999999</v>
      </c>
      <c r="J18" s="1">
        <v>4.3333333329999997</v>
      </c>
      <c r="K18">
        <v>1.7857142857142858</v>
      </c>
      <c r="L18">
        <v>1.6</v>
      </c>
      <c r="M18">
        <v>30</v>
      </c>
      <c r="N18">
        <v>31</v>
      </c>
      <c r="O18">
        <v>17</v>
      </c>
      <c r="P18">
        <v>2.5833333333333335</v>
      </c>
      <c r="Q18">
        <v>3.1666666666666665</v>
      </c>
      <c r="R18">
        <v>4</v>
      </c>
      <c r="S18" s="1">
        <v>2.7142857142857144</v>
      </c>
      <c r="T18" s="1">
        <v>2.4</v>
      </c>
      <c r="U18">
        <v>0.41</v>
      </c>
      <c r="V18">
        <v>0.8</v>
      </c>
      <c r="Y18" s="4">
        <v>-5.4700000000000001E-5</v>
      </c>
      <c r="Z18" s="4">
        <v>5.7399999999999999E-5</v>
      </c>
      <c r="AA18" s="4">
        <v>-9.59E-5</v>
      </c>
      <c r="AB18" s="4">
        <v>9.9200000000000004E-4</v>
      </c>
      <c r="AC18" s="4">
        <v>7.85E-4</v>
      </c>
      <c r="AD18" s="4">
        <v>1.1100859999999999E-3</v>
      </c>
      <c r="AE18" s="4">
        <v>1.0466239999999999E-3</v>
      </c>
      <c r="AF18" s="4">
        <v>7.2778399999999998E-4</v>
      </c>
      <c r="AG18" s="4">
        <v>1.206014E-3</v>
      </c>
    </row>
    <row r="19" spans="1:33">
      <c r="A19" s="8" t="s">
        <v>42</v>
      </c>
      <c r="B19" s="1">
        <v>2</v>
      </c>
      <c r="C19">
        <v>28</v>
      </c>
      <c r="D19">
        <v>1</v>
      </c>
      <c r="E19">
        <v>22</v>
      </c>
      <c r="F19">
        <v>38</v>
      </c>
      <c r="G19">
        <v>11</v>
      </c>
      <c r="H19" s="1">
        <v>3.6666666669999999</v>
      </c>
      <c r="I19" s="1">
        <v>4.1666666670000003</v>
      </c>
      <c r="J19" s="1">
        <v>2.8333333330000001</v>
      </c>
      <c r="K19">
        <v>3.2857142857142856</v>
      </c>
      <c r="L19">
        <v>4.4000000000000004</v>
      </c>
      <c r="M19">
        <v>29</v>
      </c>
      <c r="N19">
        <v>40</v>
      </c>
      <c r="O19">
        <v>17</v>
      </c>
      <c r="P19">
        <v>4.166666666666667</v>
      </c>
      <c r="Q19">
        <v>4.5</v>
      </c>
      <c r="R19">
        <v>2.1666666666666665</v>
      </c>
      <c r="S19" s="1">
        <v>2.7142857142857144</v>
      </c>
      <c r="T19" s="1">
        <v>3.2</v>
      </c>
      <c r="U19">
        <v>0.5</v>
      </c>
      <c r="V19">
        <v>-1.2</v>
      </c>
      <c r="Y19" s="4">
        <v>1.4100000000000001E-4</v>
      </c>
      <c r="Z19" s="4">
        <v>1.05E-4</v>
      </c>
      <c r="AA19" s="4">
        <v>3.6499999999999998E-4</v>
      </c>
      <c r="AB19" s="4">
        <v>-6.2899999999999999E-6</v>
      </c>
      <c r="AC19" s="4">
        <v>1.10089E-4</v>
      </c>
      <c r="AD19" s="4">
        <v>3.3800000000000002E-5</v>
      </c>
      <c r="AE19" s="4">
        <v>-1.47E-4</v>
      </c>
      <c r="AF19" s="4">
        <v>4.9300000000000002E-6</v>
      </c>
      <c r="AG19" s="4">
        <v>-3.3100000000000002E-4</v>
      </c>
    </row>
    <row r="20" spans="1:33">
      <c r="A20" s="8" t="s">
        <v>42</v>
      </c>
      <c r="B20" s="1">
        <v>2</v>
      </c>
      <c r="C20">
        <v>35</v>
      </c>
      <c r="D20">
        <v>1</v>
      </c>
      <c r="E20">
        <v>28</v>
      </c>
      <c r="F20">
        <v>31</v>
      </c>
      <c r="G20">
        <v>6</v>
      </c>
      <c r="H20" s="1">
        <v>4.1666666670000003</v>
      </c>
      <c r="I20" s="1">
        <v>4.6666666670000003</v>
      </c>
      <c r="J20" s="1">
        <v>2.3333333330000001</v>
      </c>
      <c r="K20">
        <v>3.5</v>
      </c>
      <c r="L20">
        <v>3.8</v>
      </c>
      <c r="M20">
        <v>31</v>
      </c>
      <c r="N20">
        <v>32</v>
      </c>
      <c r="O20">
        <v>6</v>
      </c>
      <c r="P20">
        <v>4.083333333333333</v>
      </c>
      <c r="Q20">
        <v>4.166666666666667</v>
      </c>
      <c r="R20">
        <v>2</v>
      </c>
      <c r="S20" s="1">
        <v>3.9285714285714284</v>
      </c>
      <c r="T20" s="1">
        <v>4.4000000000000004</v>
      </c>
      <c r="U20">
        <v>-0.09</v>
      </c>
      <c r="V20">
        <v>0.6</v>
      </c>
      <c r="Y20" s="4">
        <v>1.2409399999999999E-4</v>
      </c>
      <c r="Z20" s="4">
        <v>2.1999999999999999E-5</v>
      </c>
      <c r="AA20" s="4">
        <v>-7.7700000000000005E-5</v>
      </c>
      <c r="AB20" s="4">
        <v>1.3838300000000001E-4</v>
      </c>
      <c r="AC20" s="4">
        <v>1.66E-4</v>
      </c>
      <c r="AD20" s="4">
        <v>-1.3100000000000001E-4</v>
      </c>
      <c r="AE20" s="4">
        <v>1.43E-5</v>
      </c>
      <c r="AF20" s="4">
        <v>1.43571E-4</v>
      </c>
      <c r="AG20" s="4">
        <v>-5.3199999999999999E-5</v>
      </c>
    </row>
    <row r="21" spans="1:33">
      <c r="A21" s="8" t="s">
        <v>42</v>
      </c>
      <c r="B21" s="1">
        <v>2</v>
      </c>
      <c r="C21">
        <v>30</v>
      </c>
      <c r="D21">
        <v>1</v>
      </c>
      <c r="E21">
        <v>13</v>
      </c>
      <c r="F21">
        <v>23</v>
      </c>
      <c r="G21">
        <v>5</v>
      </c>
      <c r="H21" s="1">
        <v>2.6666666669999999</v>
      </c>
      <c r="I21" s="1">
        <v>3</v>
      </c>
      <c r="J21" s="1">
        <v>3.6666666669999999</v>
      </c>
      <c r="K21">
        <v>2.7142857142857144</v>
      </c>
      <c r="L21">
        <v>3</v>
      </c>
      <c r="M21">
        <v>23</v>
      </c>
      <c r="N21">
        <v>14</v>
      </c>
      <c r="O21">
        <v>0</v>
      </c>
      <c r="P21">
        <v>2.75</v>
      </c>
      <c r="Q21">
        <v>3</v>
      </c>
      <c r="R21">
        <v>3.5</v>
      </c>
      <c r="S21" s="1">
        <v>2.4285714285714284</v>
      </c>
      <c r="T21" s="1">
        <v>2.6</v>
      </c>
      <c r="U21">
        <v>0.08</v>
      </c>
      <c r="V21">
        <v>-0.4</v>
      </c>
      <c r="Y21" s="4">
        <v>3.17261E-4</v>
      </c>
      <c r="Z21" s="4">
        <v>2.2900000000000001E-4</v>
      </c>
      <c r="AA21" s="4">
        <v>-9.8499999999999995E-5</v>
      </c>
      <c r="AB21" s="4">
        <v>-2.14098E-4</v>
      </c>
      <c r="AC21" s="4">
        <v>-3.18E-5</v>
      </c>
      <c r="AD21" s="4">
        <v>3.6999999999999998E-5</v>
      </c>
      <c r="AE21" s="4">
        <v>-5.3136000000000004E-4</v>
      </c>
      <c r="AF21" s="4">
        <v>-2.6060299999999998E-4</v>
      </c>
      <c r="AG21" s="4">
        <v>1.35501E-4</v>
      </c>
    </row>
    <row r="22" spans="1:33">
      <c r="A22" s="8" t="s">
        <v>42</v>
      </c>
      <c r="B22" s="1">
        <v>2</v>
      </c>
      <c r="C22">
        <v>29</v>
      </c>
      <c r="D22">
        <v>1</v>
      </c>
      <c r="E22">
        <v>41</v>
      </c>
      <c r="F22">
        <v>26</v>
      </c>
      <c r="G22">
        <v>23</v>
      </c>
      <c r="H22" s="1">
        <v>2.75</v>
      </c>
      <c r="I22" s="1">
        <v>2.8333333330000001</v>
      </c>
      <c r="J22" s="1">
        <v>3.3333333330000001</v>
      </c>
      <c r="K22">
        <v>2.5</v>
      </c>
      <c r="L22">
        <v>2.6</v>
      </c>
      <c r="M22">
        <v>43</v>
      </c>
      <c r="N22">
        <v>26</v>
      </c>
      <c r="O22">
        <v>25</v>
      </c>
      <c r="P22">
        <v>2.5</v>
      </c>
      <c r="Q22">
        <v>2.8333333333333335</v>
      </c>
      <c r="R22">
        <v>3.8333333333333335</v>
      </c>
      <c r="S22" s="1">
        <v>2.2142857142857144</v>
      </c>
      <c r="T22" s="1">
        <v>2.4</v>
      </c>
      <c r="U22">
        <v>-0.25</v>
      </c>
      <c r="V22">
        <v>-0.2</v>
      </c>
      <c r="Y22" s="4">
        <v>1.56E-4</v>
      </c>
      <c r="Z22" s="4">
        <v>1.03241E-4</v>
      </c>
      <c r="AA22" s="4">
        <v>-2.0100000000000001E-5</v>
      </c>
      <c r="AB22" s="4">
        <v>-9.5299999999999999E-5</v>
      </c>
      <c r="AC22" s="4">
        <v>2.5099999999999998E-4</v>
      </c>
      <c r="AD22" s="4">
        <v>3.01E-4</v>
      </c>
      <c r="AE22" s="4">
        <v>-2.5099999999999998E-4</v>
      </c>
      <c r="AF22" s="4">
        <v>1.4820100000000001E-4</v>
      </c>
      <c r="AG22" s="4">
        <v>3.21451E-4</v>
      </c>
    </row>
    <row r="23" spans="1:33">
      <c r="A23" s="8" t="s">
        <v>42</v>
      </c>
      <c r="B23" s="1">
        <v>2</v>
      </c>
      <c r="C23">
        <v>26</v>
      </c>
      <c r="D23">
        <v>2</v>
      </c>
      <c r="E23">
        <v>39</v>
      </c>
      <c r="F23">
        <v>28</v>
      </c>
      <c r="G23">
        <v>20</v>
      </c>
      <c r="H23" s="1">
        <v>1.9166666670000001</v>
      </c>
      <c r="I23" s="1">
        <v>2.1666666669999999</v>
      </c>
      <c r="J23" s="1">
        <v>4.3333333329999997</v>
      </c>
      <c r="K23">
        <v>2.5</v>
      </c>
      <c r="L23">
        <v>1.8</v>
      </c>
      <c r="M23">
        <v>19</v>
      </c>
      <c r="N23">
        <v>36</v>
      </c>
      <c r="O23">
        <v>4</v>
      </c>
      <c r="P23">
        <v>2.75</v>
      </c>
      <c r="Q23">
        <v>2.5</v>
      </c>
      <c r="R23">
        <v>3</v>
      </c>
      <c r="S23" s="1">
        <v>3.1428571428571428</v>
      </c>
      <c r="T23" s="1">
        <v>3.6</v>
      </c>
      <c r="U23">
        <v>0.83</v>
      </c>
      <c r="V23">
        <v>1.8</v>
      </c>
      <c r="Y23" s="4">
        <v>1.3799999999999999E-3</v>
      </c>
      <c r="Z23" s="4">
        <v>5.3399999999999997E-4</v>
      </c>
      <c r="AA23" s="4">
        <v>2.2200000000000002E-3</v>
      </c>
      <c r="AB23" s="4">
        <v>1.28732E-4</v>
      </c>
      <c r="AC23" s="4">
        <v>-4.0299999999999997E-5</v>
      </c>
      <c r="AD23" s="4">
        <v>1.7899999999999999E-3</v>
      </c>
      <c r="AE23" s="4">
        <v>-1.247087E-3</v>
      </c>
      <c r="AF23" s="4">
        <v>-5.73899E-4</v>
      </c>
      <c r="AG23" s="4">
        <v>-4.2662199999999998E-4</v>
      </c>
    </row>
    <row r="24" spans="1:33">
      <c r="A24" s="8" t="s">
        <v>42</v>
      </c>
      <c r="B24" s="1">
        <v>2</v>
      </c>
      <c r="C24">
        <v>25</v>
      </c>
      <c r="D24">
        <v>1</v>
      </c>
      <c r="E24">
        <v>21</v>
      </c>
      <c r="F24">
        <v>25</v>
      </c>
      <c r="G24">
        <v>23</v>
      </c>
      <c r="H24" s="1">
        <v>2.6666666669999999</v>
      </c>
      <c r="I24" s="1">
        <v>2.6666666669999999</v>
      </c>
      <c r="J24" s="1">
        <v>3.3333333330000001</v>
      </c>
      <c r="K24">
        <v>2.5</v>
      </c>
      <c r="L24">
        <v>2.6</v>
      </c>
      <c r="M24">
        <v>30</v>
      </c>
      <c r="N24">
        <v>34</v>
      </c>
      <c r="O24">
        <v>18</v>
      </c>
      <c r="P24">
        <v>2.9166666666666665</v>
      </c>
      <c r="Q24">
        <v>3</v>
      </c>
      <c r="R24">
        <v>3.1666666666666665</v>
      </c>
      <c r="S24" s="1">
        <v>3</v>
      </c>
      <c r="T24" s="1">
        <v>3.2</v>
      </c>
      <c r="U24">
        <v>0.25</v>
      </c>
      <c r="V24">
        <v>0.6</v>
      </c>
      <c r="Y24" s="4">
        <v>4.3899999999999999E-4</v>
      </c>
      <c r="Z24" s="4">
        <v>2.3499999999999999E-4</v>
      </c>
      <c r="AA24" s="4">
        <v>1.6199999999999999E-3</v>
      </c>
      <c r="AB24" s="4">
        <v>4.1300000000000001E-5</v>
      </c>
      <c r="AC24" s="4">
        <v>-8.0500000000000005E-5</v>
      </c>
      <c r="AD24" s="4">
        <v>3.2499999999999999E-3</v>
      </c>
      <c r="AE24" s="4">
        <v>-3.9752500000000003E-4</v>
      </c>
      <c r="AF24" s="4">
        <v>-3.1500400000000002E-4</v>
      </c>
      <c r="AG24" s="4">
        <v>1.628001E-3</v>
      </c>
    </row>
    <row r="25" spans="1:33">
      <c r="A25" s="8" t="s">
        <v>42</v>
      </c>
      <c r="B25" s="1">
        <v>2</v>
      </c>
      <c r="C25">
        <v>30</v>
      </c>
      <c r="D25">
        <v>3</v>
      </c>
      <c r="E25">
        <v>23</v>
      </c>
      <c r="F25">
        <v>40</v>
      </c>
      <c r="G25">
        <v>0</v>
      </c>
      <c r="H25" s="1">
        <v>2.5833333330000001</v>
      </c>
      <c r="I25" s="1">
        <v>2.5</v>
      </c>
      <c r="J25" s="1">
        <v>3.3333333330000001</v>
      </c>
      <c r="K25">
        <v>4</v>
      </c>
      <c r="L25">
        <v>4.2</v>
      </c>
      <c r="M25">
        <v>13</v>
      </c>
      <c r="N25">
        <v>40</v>
      </c>
      <c r="O25">
        <v>0</v>
      </c>
      <c r="P25">
        <v>3.5</v>
      </c>
      <c r="Q25">
        <v>4</v>
      </c>
      <c r="R25">
        <v>3</v>
      </c>
      <c r="S25" s="1">
        <v>4</v>
      </c>
      <c r="T25" s="1">
        <v>3.2</v>
      </c>
      <c r="U25">
        <v>0.92</v>
      </c>
      <c r="V25">
        <v>-1</v>
      </c>
      <c r="Y25" s="4">
        <v>7.5799999999999999E-4</v>
      </c>
      <c r="Z25" s="4">
        <v>2.4399999999999999E-4</v>
      </c>
      <c r="AA25" s="4">
        <v>7.6499999999999995E-4</v>
      </c>
      <c r="AB25" s="4">
        <v>2.9399999999999999E-4</v>
      </c>
      <c r="AC25" s="4">
        <v>9.6199999999999994E-5</v>
      </c>
      <c r="AD25" s="4">
        <v>5.0600000000000005E-4</v>
      </c>
      <c r="AE25" s="4">
        <v>-4.64E-4</v>
      </c>
      <c r="AF25" s="4">
        <v>-1.4750899999999999E-4</v>
      </c>
      <c r="AG25" s="4">
        <v>-2.5880100000000002E-4</v>
      </c>
    </row>
    <row r="26" spans="1:33">
      <c r="A26" s="8" t="s">
        <v>42</v>
      </c>
      <c r="B26" s="1">
        <v>2</v>
      </c>
      <c r="C26">
        <v>29</v>
      </c>
      <c r="D26">
        <v>2</v>
      </c>
      <c r="E26">
        <v>20</v>
      </c>
      <c r="F26">
        <v>26</v>
      </c>
      <c r="G26">
        <v>3</v>
      </c>
      <c r="H26" s="1">
        <v>4.1666666670000003</v>
      </c>
      <c r="I26" s="1">
        <v>4.3333333329999997</v>
      </c>
      <c r="J26" s="1">
        <v>2</v>
      </c>
      <c r="K26">
        <v>3.7857142857142856</v>
      </c>
      <c r="L26">
        <v>4.4000000000000004</v>
      </c>
      <c r="M26">
        <v>28</v>
      </c>
      <c r="N26">
        <v>23</v>
      </c>
      <c r="O26">
        <v>4</v>
      </c>
      <c r="P26">
        <v>3.9166666666666665</v>
      </c>
      <c r="Q26">
        <v>4.166666666666667</v>
      </c>
      <c r="R26">
        <v>2.3333333333333335</v>
      </c>
      <c r="S26" s="1">
        <v>3.7142857142857144</v>
      </c>
      <c r="T26" s="1">
        <v>3.8</v>
      </c>
      <c r="U26">
        <v>-0.25</v>
      </c>
      <c r="V26">
        <v>-0.6</v>
      </c>
      <c r="Y26" s="4">
        <v>6.7079599999999998E-4</v>
      </c>
      <c r="Z26" s="4">
        <v>1.91688E-4</v>
      </c>
      <c r="AA26" s="4">
        <v>2.0900000000000001E-4</v>
      </c>
      <c r="AB26" s="4">
        <v>2.7804099999999998E-4</v>
      </c>
      <c r="AC26" s="4">
        <v>2.7504199999999997E-4</v>
      </c>
      <c r="AD26" s="4">
        <v>3.21E-4</v>
      </c>
      <c r="AE26" s="4">
        <v>-3.92755E-4</v>
      </c>
      <c r="AF26" s="4">
        <v>8.3399999999999994E-5</v>
      </c>
      <c r="AG26" s="4">
        <v>1.12076E-4</v>
      </c>
    </row>
    <row r="27" spans="1:33">
      <c r="A27" s="8" t="s">
        <v>42</v>
      </c>
      <c r="B27" s="1">
        <v>2</v>
      </c>
      <c r="C27">
        <v>40</v>
      </c>
      <c r="D27">
        <v>1</v>
      </c>
      <c r="E27">
        <v>26</v>
      </c>
      <c r="F27">
        <v>39</v>
      </c>
      <c r="G27">
        <v>8</v>
      </c>
      <c r="H27" s="1">
        <v>3.3333333330000001</v>
      </c>
      <c r="I27" s="1">
        <v>4.1666666670000003</v>
      </c>
      <c r="J27" s="1">
        <v>3.5</v>
      </c>
      <c r="K27">
        <v>2.6428571428571428</v>
      </c>
      <c r="L27">
        <v>2.6</v>
      </c>
      <c r="M27">
        <v>36</v>
      </c>
      <c r="N27">
        <v>34</v>
      </c>
      <c r="O27">
        <v>12</v>
      </c>
      <c r="P27">
        <v>2.8333333333333335</v>
      </c>
      <c r="Q27">
        <v>3.3333333333333335</v>
      </c>
      <c r="R27">
        <v>3.6666666666666665</v>
      </c>
      <c r="S27" s="1">
        <v>2.8571428571428572</v>
      </c>
      <c r="T27" s="1">
        <v>2.6</v>
      </c>
      <c r="U27">
        <v>-0.5</v>
      </c>
      <c r="V27">
        <v>0</v>
      </c>
      <c r="Y27" s="4">
        <v>3.2277E-4</v>
      </c>
      <c r="Z27" s="4">
        <v>7.0500000000000006E-5</v>
      </c>
      <c r="AA27" s="4">
        <v>1.1691399999999999E-3</v>
      </c>
      <c r="AB27" s="4">
        <v>-5.9651099999999998E-4</v>
      </c>
      <c r="AC27" s="4">
        <v>3.3899999999999998E-3</v>
      </c>
      <c r="AD27" s="4">
        <v>5.9497919999999998E-3</v>
      </c>
      <c r="AE27" s="4">
        <v>-9.1928099999999998E-4</v>
      </c>
      <c r="AF27" s="4">
        <v>3.3168519999999999E-3</v>
      </c>
      <c r="AG27" s="4">
        <v>4.7806519999999998E-3</v>
      </c>
    </row>
    <row r="28" spans="1:33">
      <c r="A28" s="8" t="s">
        <v>42</v>
      </c>
      <c r="B28" s="1">
        <v>2</v>
      </c>
      <c r="C28">
        <v>23</v>
      </c>
      <c r="D28">
        <v>1</v>
      </c>
      <c r="E28">
        <v>28</v>
      </c>
      <c r="F28">
        <v>32</v>
      </c>
      <c r="G28">
        <v>18</v>
      </c>
      <c r="H28" s="1">
        <v>3.6666666669999999</v>
      </c>
      <c r="I28" s="1">
        <v>4</v>
      </c>
      <c r="J28" s="1">
        <v>2.6666666669999999</v>
      </c>
      <c r="K28">
        <v>3</v>
      </c>
      <c r="L28">
        <v>2.6</v>
      </c>
      <c r="M28">
        <v>35</v>
      </c>
      <c r="N28">
        <v>43</v>
      </c>
      <c r="O28">
        <v>4</v>
      </c>
      <c r="P28">
        <v>2.1666666666666665</v>
      </c>
      <c r="Q28">
        <v>2.3333333333333335</v>
      </c>
      <c r="R28">
        <v>4</v>
      </c>
      <c r="S28" s="1">
        <v>2.9285714285714284</v>
      </c>
      <c r="T28" s="1">
        <v>2.6</v>
      </c>
      <c r="U28">
        <v>-1.5</v>
      </c>
      <c r="V28">
        <v>0</v>
      </c>
      <c r="Y28" s="4">
        <v>4.2394200000000001E-4</v>
      </c>
      <c r="Z28" s="4">
        <v>2.5361099999999999E-4</v>
      </c>
      <c r="AA28" s="4">
        <v>8.1346299999999995E-4</v>
      </c>
      <c r="AB28" s="4">
        <v>-2.2181300000000001E-4</v>
      </c>
      <c r="AC28" s="4">
        <v>3.0094829999999999E-3</v>
      </c>
      <c r="AD28" s="4">
        <v>3.085876E-3</v>
      </c>
      <c r="AE28" s="4">
        <v>-6.4575500000000003E-4</v>
      </c>
      <c r="AF28" s="4">
        <v>2.7558719999999999E-3</v>
      </c>
      <c r="AG28" s="4">
        <v>2.272413E-3</v>
      </c>
    </row>
    <row r="29" spans="1:33">
      <c r="A29" s="8" t="s">
        <v>42</v>
      </c>
      <c r="B29" s="1">
        <v>2</v>
      </c>
      <c r="C29">
        <v>28</v>
      </c>
      <c r="D29">
        <v>2</v>
      </c>
      <c r="E29">
        <v>41</v>
      </c>
      <c r="F29">
        <v>21</v>
      </c>
      <c r="G29">
        <v>15</v>
      </c>
      <c r="H29" s="1">
        <v>2.5</v>
      </c>
      <c r="I29" s="1">
        <v>2.8333333330000001</v>
      </c>
      <c r="J29" s="1">
        <v>3.8333333330000001</v>
      </c>
      <c r="K29">
        <v>2.5714285714285716</v>
      </c>
      <c r="L29">
        <v>2.6</v>
      </c>
      <c r="M29">
        <v>25</v>
      </c>
      <c r="N29">
        <v>33</v>
      </c>
      <c r="O29">
        <v>5</v>
      </c>
      <c r="P29">
        <v>3.25</v>
      </c>
      <c r="Q29">
        <v>3.3333333333333335</v>
      </c>
      <c r="R29">
        <v>2.8333333333333335</v>
      </c>
      <c r="S29" s="1">
        <v>3.2142857142857144</v>
      </c>
      <c r="T29" s="1">
        <v>3</v>
      </c>
      <c r="U29">
        <v>0.75</v>
      </c>
      <c r="V29">
        <v>0.4</v>
      </c>
      <c r="Y29" s="4">
        <v>2.94E-5</v>
      </c>
      <c r="Z29" s="4">
        <v>6.5500000000000006E-5</v>
      </c>
      <c r="AA29" s="4">
        <v>2.2399999999999999E-5</v>
      </c>
      <c r="AB29" s="4">
        <v>-1.0499999999999999E-5</v>
      </c>
      <c r="AC29" s="4">
        <v>4.99E-5</v>
      </c>
      <c r="AD29" s="4">
        <v>-3.9700000000000001E-6</v>
      </c>
      <c r="AE29" s="4">
        <v>-3.9900000000000001E-5</v>
      </c>
      <c r="AF29" s="4">
        <v>-1.5500000000000001E-5</v>
      </c>
      <c r="AG29" s="4">
        <v>-2.6400000000000001E-5</v>
      </c>
    </row>
    <row r="30" spans="1:33">
      <c r="A30" s="8" t="s">
        <v>42</v>
      </c>
      <c r="B30" s="1">
        <v>2</v>
      </c>
      <c r="C30">
        <v>27</v>
      </c>
      <c r="D30">
        <v>2</v>
      </c>
      <c r="E30">
        <v>39</v>
      </c>
      <c r="F30">
        <v>25</v>
      </c>
      <c r="G30">
        <v>5</v>
      </c>
      <c r="H30" s="1">
        <v>2.0833333330000001</v>
      </c>
      <c r="I30" s="1">
        <v>2.3333333330000001</v>
      </c>
      <c r="J30" s="1">
        <v>4.1666666670000003</v>
      </c>
      <c r="K30">
        <v>3.1428571428571428</v>
      </c>
      <c r="L30">
        <v>3.2</v>
      </c>
      <c r="M30">
        <v>37</v>
      </c>
      <c r="N30">
        <v>26</v>
      </c>
      <c r="O30">
        <v>5</v>
      </c>
      <c r="P30">
        <v>2.3333333333333335</v>
      </c>
      <c r="Q30">
        <v>2.5</v>
      </c>
      <c r="R30">
        <v>3.8333333333333335</v>
      </c>
      <c r="S30" s="1">
        <v>3.1428571428571428</v>
      </c>
      <c r="T30" s="1">
        <v>3</v>
      </c>
      <c r="U30">
        <v>0.25</v>
      </c>
      <c r="V30">
        <v>-0.2</v>
      </c>
      <c r="Y30" s="4">
        <v>5.3246599999999999E-4</v>
      </c>
      <c r="Z30" s="4">
        <v>2.9999999999999997E-4</v>
      </c>
      <c r="AA30" s="4">
        <v>1.2899999999999999E-3</v>
      </c>
      <c r="AB30" s="4">
        <v>3.2701200000000001E-4</v>
      </c>
      <c r="AC30" s="4">
        <v>2.9899999999999998E-5</v>
      </c>
      <c r="AD30" s="4">
        <v>3.0600000000000001E-4</v>
      </c>
      <c r="AE30" s="4">
        <v>-2.05E-4</v>
      </c>
      <c r="AF30" s="4">
        <v>-2.7030799999999997E-4</v>
      </c>
      <c r="AG30" s="4">
        <v>-9.8799999999999995E-4</v>
      </c>
    </row>
    <row r="31" spans="1:33">
      <c r="A31" s="8" t="s">
        <v>42</v>
      </c>
      <c r="B31" s="1">
        <v>2</v>
      </c>
      <c r="C31">
        <v>24</v>
      </c>
      <c r="D31">
        <v>2</v>
      </c>
      <c r="E31">
        <v>12</v>
      </c>
      <c r="F31">
        <v>41</v>
      </c>
      <c r="G31">
        <v>4</v>
      </c>
      <c r="H31" s="1">
        <v>2.75</v>
      </c>
      <c r="I31" s="1">
        <v>3.3333333330000001</v>
      </c>
      <c r="J31" s="1">
        <v>3.8333333330000001</v>
      </c>
      <c r="K31">
        <v>2.7142857142857144</v>
      </c>
      <c r="L31">
        <v>2.8</v>
      </c>
      <c r="M31">
        <v>10</v>
      </c>
      <c r="N31">
        <v>46</v>
      </c>
      <c r="O31">
        <v>3</v>
      </c>
      <c r="P31">
        <v>2.6666666666666665</v>
      </c>
      <c r="Q31">
        <v>3.1666666666666665</v>
      </c>
      <c r="R31">
        <v>3.8333333333333335</v>
      </c>
      <c r="S31" s="1">
        <v>2.7857142857142856</v>
      </c>
      <c r="T31" s="1">
        <v>2.6</v>
      </c>
      <c r="U31">
        <v>-0.08</v>
      </c>
      <c r="V31">
        <v>-0.2</v>
      </c>
      <c r="Y31" s="4">
        <v>1.3999999999999999E-4</v>
      </c>
      <c r="Z31" s="4">
        <v>5.6400000000000002E-5</v>
      </c>
      <c r="AA31" s="4">
        <v>1.7100000000000001E-4</v>
      </c>
      <c r="AB31" s="4">
        <v>1.5509700000000001E-4</v>
      </c>
      <c r="AC31" s="4">
        <v>7.0500000000000006E-5</v>
      </c>
      <c r="AD31" s="4">
        <v>2.33E-4</v>
      </c>
      <c r="AE31" s="4">
        <v>1.5E-5</v>
      </c>
      <c r="AF31" s="4">
        <v>1.4100000000000001E-5</v>
      </c>
      <c r="AG31" s="4">
        <v>6.2899999999999997E-5</v>
      </c>
    </row>
    <row r="32" spans="1:33">
      <c r="A32" s="8" t="s">
        <v>42</v>
      </c>
      <c r="B32" s="1">
        <v>2</v>
      </c>
      <c r="C32">
        <v>43</v>
      </c>
      <c r="D32">
        <v>2</v>
      </c>
      <c r="E32">
        <v>17</v>
      </c>
      <c r="F32">
        <v>30</v>
      </c>
      <c r="G32">
        <v>2</v>
      </c>
      <c r="H32" s="1">
        <v>3.3333333330000001</v>
      </c>
      <c r="I32" s="1">
        <v>3.8333333330000001</v>
      </c>
      <c r="J32" s="1">
        <v>3.1666666669999999</v>
      </c>
      <c r="K32">
        <v>4</v>
      </c>
      <c r="L32">
        <v>4</v>
      </c>
      <c r="M32">
        <v>12</v>
      </c>
      <c r="N32">
        <v>32</v>
      </c>
      <c r="O32">
        <v>4</v>
      </c>
      <c r="P32">
        <v>3.0833333333333335</v>
      </c>
      <c r="Q32">
        <v>3.6666666666666665</v>
      </c>
      <c r="R32">
        <v>3.5</v>
      </c>
      <c r="S32" s="1">
        <v>3.9285714285714284</v>
      </c>
      <c r="T32" s="1">
        <v>4</v>
      </c>
      <c r="U32">
        <v>-0.25</v>
      </c>
      <c r="V32">
        <v>0</v>
      </c>
      <c r="Y32" s="4">
        <v>4.4900000000000002E-4</v>
      </c>
      <c r="Z32" s="4">
        <v>2.5999999999999998E-4</v>
      </c>
      <c r="AA32" s="4">
        <v>2.52E-4</v>
      </c>
      <c r="AB32" s="4">
        <v>1.7299899999999999E-4</v>
      </c>
      <c r="AC32" s="4">
        <v>5.0899999999999997E-5</v>
      </c>
      <c r="AD32" s="4">
        <v>2.9700000000000001E-4</v>
      </c>
      <c r="AE32" s="4">
        <v>-2.7573000000000002E-4</v>
      </c>
      <c r="AF32" s="4">
        <v>-2.09586E-4</v>
      </c>
      <c r="AG32" s="4">
        <v>4.4799999999999998E-5</v>
      </c>
    </row>
    <row r="33" spans="1:33">
      <c r="A33" s="8" t="s">
        <v>42</v>
      </c>
      <c r="B33" s="1">
        <v>2</v>
      </c>
      <c r="C33">
        <v>28</v>
      </c>
      <c r="D33">
        <v>1</v>
      </c>
      <c r="E33">
        <v>16</v>
      </c>
      <c r="F33">
        <v>41</v>
      </c>
      <c r="G33">
        <v>11</v>
      </c>
      <c r="H33" s="1">
        <v>4.5</v>
      </c>
      <c r="I33" s="1">
        <v>4.5</v>
      </c>
      <c r="J33" s="1">
        <v>1.5</v>
      </c>
      <c r="K33">
        <v>3.2142857142857144</v>
      </c>
      <c r="L33">
        <v>3</v>
      </c>
      <c r="M33">
        <v>9</v>
      </c>
      <c r="N33">
        <v>41</v>
      </c>
      <c r="O33">
        <v>3</v>
      </c>
      <c r="P33">
        <v>4.416666666666667</v>
      </c>
      <c r="Q33">
        <v>4.666666666666667</v>
      </c>
      <c r="R33">
        <v>1.8333333333333333</v>
      </c>
      <c r="S33" s="1">
        <v>3.7857142857142856</v>
      </c>
      <c r="T33" s="1">
        <v>3.8</v>
      </c>
      <c r="U33">
        <v>-0.08</v>
      </c>
      <c r="V33">
        <v>0.8</v>
      </c>
      <c r="Y33" s="4">
        <v>3.9842099999999999E-4</v>
      </c>
      <c r="Z33" s="4">
        <v>6.7500000000000004E-4</v>
      </c>
      <c r="AA33" s="4">
        <v>4.2434299999999999E-4</v>
      </c>
      <c r="AB33" s="4">
        <v>1.40125E-4</v>
      </c>
      <c r="AC33" s="4">
        <v>3.1699999999999998E-5</v>
      </c>
      <c r="AD33" s="4">
        <v>6.5148300000000001E-4</v>
      </c>
      <c r="AE33" s="4">
        <v>-2.5829599999999998E-4</v>
      </c>
      <c r="AF33" s="4">
        <v>-6.4327700000000004E-4</v>
      </c>
      <c r="AG33" s="4">
        <v>2.2714E-4</v>
      </c>
    </row>
    <row r="34" spans="1:33">
      <c r="A34" s="8" t="s">
        <v>42</v>
      </c>
      <c r="B34" s="1">
        <v>2</v>
      </c>
      <c r="C34">
        <v>30</v>
      </c>
      <c r="D34">
        <v>1</v>
      </c>
      <c r="E34">
        <v>30</v>
      </c>
      <c r="F34">
        <v>36</v>
      </c>
      <c r="G34">
        <v>1</v>
      </c>
      <c r="H34" s="1">
        <v>2.9166666669999999</v>
      </c>
      <c r="I34" s="1">
        <v>4.1666666670000003</v>
      </c>
      <c r="J34" s="1">
        <v>4.3333333329999997</v>
      </c>
      <c r="K34">
        <v>2.1428571428571428</v>
      </c>
      <c r="L34">
        <v>2.2000000000000002</v>
      </c>
      <c r="M34">
        <v>41</v>
      </c>
      <c r="N34">
        <v>36</v>
      </c>
      <c r="O34">
        <v>3</v>
      </c>
      <c r="P34">
        <v>2.5</v>
      </c>
      <c r="Q34">
        <v>3.5</v>
      </c>
      <c r="R34">
        <v>4.5</v>
      </c>
      <c r="S34" s="1">
        <v>2.4285714285714284</v>
      </c>
      <c r="T34" s="1">
        <v>1.8</v>
      </c>
      <c r="U34">
        <v>-0.42</v>
      </c>
      <c r="V34">
        <v>-0.4</v>
      </c>
      <c r="Y34" s="4">
        <v>-5.52E-5</v>
      </c>
      <c r="Z34" s="4">
        <v>-4.1300000000000001E-5</v>
      </c>
      <c r="AA34" s="4">
        <v>2.2499999999999999E-4</v>
      </c>
      <c r="AB34" s="4">
        <v>9.8900000000000005E-5</v>
      </c>
      <c r="AC34" s="4">
        <v>1.6000000000000001E-4</v>
      </c>
      <c r="AD34" s="4">
        <v>2.05E-4</v>
      </c>
      <c r="AE34" s="4">
        <v>1.5414199999999999E-4</v>
      </c>
      <c r="AF34" s="4">
        <v>2.0164599999999999E-4</v>
      </c>
      <c r="AG34" s="4">
        <v>-1.95E-5</v>
      </c>
    </row>
    <row r="35" spans="1:33">
      <c r="A35" s="8" t="s">
        <v>42</v>
      </c>
      <c r="B35" s="1">
        <v>2</v>
      </c>
      <c r="C35">
        <v>31</v>
      </c>
      <c r="D35">
        <v>1</v>
      </c>
      <c r="E35">
        <v>17</v>
      </c>
      <c r="F35">
        <v>39</v>
      </c>
      <c r="G35">
        <v>5</v>
      </c>
      <c r="H35" s="1">
        <v>3.0833333330000001</v>
      </c>
      <c r="I35" s="1">
        <v>3.3333333330000001</v>
      </c>
      <c r="J35" s="1">
        <v>3.1666666669999999</v>
      </c>
      <c r="K35">
        <v>3.7857142857142856</v>
      </c>
      <c r="L35">
        <v>3.8</v>
      </c>
      <c r="M35">
        <v>0</v>
      </c>
      <c r="N35">
        <v>38</v>
      </c>
      <c r="O35">
        <v>5</v>
      </c>
      <c r="P35">
        <v>2.6666666666666665</v>
      </c>
      <c r="Q35">
        <v>2.8333333333333335</v>
      </c>
      <c r="R35">
        <v>3.5</v>
      </c>
      <c r="S35" s="1">
        <v>3.2142857142857144</v>
      </c>
      <c r="T35" s="1">
        <v>2.8</v>
      </c>
      <c r="U35">
        <v>-0.41</v>
      </c>
      <c r="V35">
        <v>-1</v>
      </c>
      <c r="Y35" s="4">
        <v>1.00838E-4</v>
      </c>
      <c r="Z35" s="4">
        <v>1.5567000000000001E-4</v>
      </c>
      <c r="AA35" s="4">
        <v>8.8800000000000001E-4</v>
      </c>
      <c r="AB35" s="4">
        <v>1.6839700000000001E-4</v>
      </c>
      <c r="AC35" s="4">
        <v>1.04651E-4</v>
      </c>
      <c r="AD35" s="4">
        <v>1.2899999999999999E-3</v>
      </c>
      <c r="AE35" s="4">
        <v>6.7600000000000003E-5</v>
      </c>
      <c r="AF35" s="4">
        <v>-5.1E-5</v>
      </c>
      <c r="AG35" s="4">
        <v>4.0499999999999998E-4</v>
      </c>
    </row>
    <row r="36" spans="1:33">
      <c r="A36" s="8"/>
      <c r="B36" s="1"/>
      <c r="E36" s="11">
        <f t="shared" ref="E36:AG36" si="0">AVERAGE(E2:E16)</f>
        <v>15.8</v>
      </c>
      <c r="F36" s="11">
        <f t="shared" si="0"/>
        <v>20.466666666666665</v>
      </c>
      <c r="G36" s="11">
        <f t="shared" si="0"/>
        <v>5.2666666666666666</v>
      </c>
      <c r="H36" s="11">
        <f t="shared" si="0"/>
        <v>2.6722222220666665</v>
      </c>
      <c r="I36" s="11">
        <f t="shared" si="0"/>
        <v>2.9888888888666667</v>
      </c>
      <c r="J36" s="11">
        <f t="shared" si="0"/>
        <v>3.6444444443333333</v>
      </c>
      <c r="K36" s="11">
        <f t="shared" si="0"/>
        <v>3.0333333333333341</v>
      </c>
      <c r="L36" s="11">
        <f t="shared" si="0"/>
        <v>2.8133333333333335</v>
      </c>
      <c r="M36" s="11">
        <f t="shared" si="0"/>
        <v>15.533333333333333</v>
      </c>
      <c r="N36" s="11">
        <f t="shared" si="0"/>
        <v>21.466666666666665</v>
      </c>
      <c r="O36" s="11">
        <f t="shared" si="0"/>
        <v>4.4000000000000004</v>
      </c>
      <c r="P36" s="11">
        <f t="shared" si="0"/>
        <v>2.9722222222222219</v>
      </c>
      <c r="Q36" s="11">
        <f t="shared" si="0"/>
        <v>3.3555555555555561</v>
      </c>
      <c r="R36" s="11">
        <f t="shared" si="0"/>
        <v>3.4111111111111114</v>
      </c>
      <c r="S36" s="11">
        <f t="shared" si="0"/>
        <v>3.3190476191333338</v>
      </c>
      <c r="T36" s="11">
        <f t="shared" si="0"/>
        <v>3.28</v>
      </c>
      <c r="U36" s="11">
        <f t="shared" si="0"/>
        <v>0.30266666666666669</v>
      </c>
      <c r="V36" s="11">
        <f t="shared" si="0"/>
        <v>0.46666666666666662</v>
      </c>
      <c r="X36" s="5" t="s">
        <v>11</v>
      </c>
      <c r="Y36" s="4">
        <f t="shared" si="0"/>
        <v>3.0790673333333339E-4</v>
      </c>
      <c r="Z36" s="4">
        <f t="shared" si="0"/>
        <v>2.5508846666666662E-4</v>
      </c>
      <c r="AA36" s="4">
        <f t="shared" si="0"/>
        <v>1.1919414666666664E-3</v>
      </c>
      <c r="AB36" s="4">
        <f t="shared" si="0"/>
        <v>1.9624780000000001E-4</v>
      </c>
      <c r="AC36" s="4">
        <f t="shared" si="0"/>
        <v>1.4398706666666667E-4</v>
      </c>
      <c r="AD36" s="4">
        <f t="shared" si="0"/>
        <v>1.4413706666666662E-4</v>
      </c>
      <c r="AE36" s="4">
        <f t="shared" si="0"/>
        <v>-1.1152559999999996E-4</v>
      </c>
      <c r="AF36" s="4">
        <f t="shared" si="0"/>
        <v>-1.1105553333333332E-4</v>
      </c>
      <c r="AG36" s="4">
        <f t="shared" si="0"/>
        <v>-1.0475159333333333E-3</v>
      </c>
    </row>
    <row r="37" spans="1:33">
      <c r="A37" s="8"/>
      <c r="B37" s="1"/>
      <c r="E37" s="11">
        <f t="shared" ref="E37:AG37" si="1">_xlfn.STDEV.S(E2:E16)</f>
        <v>4.3293021542573289</v>
      </c>
      <c r="F37" s="11">
        <f t="shared" si="1"/>
        <v>3.8147583085145733</v>
      </c>
      <c r="G37" s="11">
        <f t="shared" si="1"/>
        <v>3.7505555144093878</v>
      </c>
      <c r="H37" s="11">
        <f t="shared" si="1"/>
        <v>0.60048481295022171</v>
      </c>
      <c r="I37" s="11">
        <f t="shared" si="1"/>
        <v>0.64693007230650412</v>
      </c>
      <c r="J37" s="11">
        <f t="shared" si="1"/>
        <v>0.72338124345209964</v>
      </c>
      <c r="K37" s="11">
        <f t="shared" si="1"/>
        <v>0.69717603355874724</v>
      </c>
      <c r="L37" s="11">
        <f t="shared" si="1"/>
        <v>0.82623644719091616</v>
      </c>
      <c r="M37" s="11">
        <f t="shared" si="1"/>
        <v>5.083118652765763</v>
      </c>
      <c r="N37" s="11">
        <f t="shared" si="1"/>
        <v>3.9797104465143258</v>
      </c>
      <c r="O37" s="11">
        <f t="shared" si="1"/>
        <v>3.9964269756156652</v>
      </c>
      <c r="P37" s="11">
        <f t="shared" si="1"/>
        <v>0.50263854074822467</v>
      </c>
      <c r="Q37" s="11">
        <f t="shared" si="1"/>
        <v>0.42195062275380707</v>
      </c>
      <c r="R37" s="11">
        <f t="shared" si="1"/>
        <v>0.78645948307494862</v>
      </c>
      <c r="S37" s="11">
        <f t="shared" si="1"/>
        <v>0.84939811756051886</v>
      </c>
      <c r="T37" s="11">
        <f t="shared" si="1"/>
        <v>0.96747092979582749</v>
      </c>
      <c r="U37" s="11">
        <f t="shared" si="1"/>
        <v>0.39546476575338657</v>
      </c>
      <c r="V37" s="11">
        <f t="shared" si="1"/>
        <v>0.89336176216314422</v>
      </c>
      <c r="X37" s="5" t="s">
        <v>12</v>
      </c>
      <c r="Y37" s="4">
        <f t="shared" si="1"/>
        <v>3.1437806864562351E-4</v>
      </c>
      <c r="Z37" s="4">
        <f t="shared" si="1"/>
        <v>2.1810960723186426E-4</v>
      </c>
      <c r="AA37" s="4">
        <f t="shared" si="1"/>
        <v>1.2553738524759908E-3</v>
      </c>
      <c r="AB37" s="4">
        <f t="shared" si="1"/>
        <v>1.4510195738179609E-4</v>
      </c>
      <c r="AC37" s="4">
        <f t="shared" si="1"/>
        <v>1.7550855242590914E-4</v>
      </c>
      <c r="AD37" s="4">
        <f t="shared" si="1"/>
        <v>1.1663769544516573E-3</v>
      </c>
      <c r="AE37" s="4">
        <f t="shared" si="1"/>
        <v>3.2892804352228775E-4</v>
      </c>
      <c r="AF37" s="4">
        <f t="shared" si="1"/>
        <v>2.7213243355812383E-4</v>
      </c>
      <c r="AG37" s="4">
        <f t="shared" si="1"/>
        <v>1.6181130534978728E-3</v>
      </c>
    </row>
    <row r="38" spans="1:33">
      <c r="E38" s="11">
        <f t="shared" ref="E38:AG38" si="2">AVERAGE(E17:E35)</f>
        <v>25.210526315789473</v>
      </c>
      <c r="F38" s="11">
        <f t="shared" si="2"/>
        <v>32.631578947368418</v>
      </c>
      <c r="G38" s="11">
        <f t="shared" si="2"/>
        <v>10.105263157894736</v>
      </c>
      <c r="H38" s="11">
        <f t="shared" si="2"/>
        <v>3.0263157895263157</v>
      </c>
      <c r="I38" s="11">
        <f t="shared" si="2"/>
        <v>3.4210526315789473</v>
      </c>
      <c r="J38" s="11">
        <f t="shared" si="2"/>
        <v>3.3684210525263154</v>
      </c>
      <c r="K38" s="11">
        <f t="shared" si="2"/>
        <v>3.0000000000000004</v>
      </c>
      <c r="L38" s="11">
        <f t="shared" si="2"/>
        <v>3.0842105263157897</v>
      </c>
      <c r="M38" s="11">
        <f t="shared" si="2"/>
        <v>24.421052631578949</v>
      </c>
      <c r="N38" s="11">
        <f t="shared" si="2"/>
        <v>34.210526315789473</v>
      </c>
      <c r="O38" s="11">
        <f t="shared" si="2"/>
        <v>8.1578947368421044</v>
      </c>
      <c r="P38" s="11">
        <f t="shared" si="2"/>
        <v>3.0789473684210527</v>
      </c>
      <c r="Q38" s="11">
        <f t="shared" si="2"/>
        <v>3.3947368421052633</v>
      </c>
      <c r="R38" s="11">
        <f t="shared" si="2"/>
        <v>3.2368421052631584</v>
      </c>
      <c r="S38" s="11">
        <f t="shared" si="2"/>
        <v>3.1428571428571432</v>
      </c>
      <c r="T38" s="11">
        <f t="shared" si="2"/>
        <v>3.0842105263157893</v>
      </c>
      <c r="U38" s="11">
        <f t="shared" si="2"/>
        <v>5.2631578947368411E-2</v>
      </c>
      <c r="V38" s="11">
        <f t="shared" si="2"/>
        <v>0</v>
      </c>
      <c r="X38" s="5" t="s">
        <v>13</v>
      </c>
      <c r="Y38" s="4">
        <f t="shared" si="2"/>
        <v>3.4480415789473682E-4</v>
      </c>
      <c r="Z38" s="4">
        <f t="shared" si="2"/>
        <v>1.8751105263157891E-4</v>
      </c>
      <c r="AA38" s="4">
        <f t="shared" si="2"/>
        <v>4.9404247368421055E-4</v>
      </c>
      <c r="AB38" s="4">
        <f t="shared" si="2"/>
        <v>1.0784926315789474E-4</v>
      </c>
      <c r="AC38" s="4">
        <f t="shared" si="2"/>
        <v>4.568297368421053E-4</v>
      </c>
      <c r="AD38" s="4">
        <f t="shared" si="2"/>
        <v>1.0255425789473685E-3</v>
      </c>
      <c r="AE38" s="4">
        <f t="shared" si="2"/>
        <v>-2.3665910526315788E-4</v>
      </c>
      <c r="AF38" s="4">
        <f t="shared" si="2"/>
        <v>2.6926489473684203E-4</v>
      </c>
      <c r="AG38" s="4">
        <f t="shared" si="2"/>
        <v>5.3163189473684209E-4</v>
      </c>
    </row>
    <row r="39" spans="1:33">
      <c r="E39" s="11">
        <f t="shared" ref="E39:AG39" si="3">_xlfn.STDEV.S(E17:E35)</f>
        <v>10.053075523708159</v>
      </c>
      <c r="F39" s="11">
        <f t="shared" si="3"/>
        <v>6.985783391334385</v>
      </c>
      <c r="G39" s="11">
        <f t="shared" si="3"/>
        <v>7.9014396497101531</v>
      </c>
      <c r="H39" s="11">
        <f t="shared" si="3"/>
        <v>0.73548329184677719</v>
      </c>
      <c r="I39" s="11">
        <f t="shared" si="3"/>
        <v>0.79420824203216622</v>
      </c>
      <c r="J39" s="11">
        <f t="shared" si="3"/>
        <v>0.82323313854834457</v>
      </c>
      <c r="K39" s="11">
        <f t="shared" si="3"/>
        <v>0.62858946583066966</v>
      </c>
      <c r="L39" s="11">
        <f t="shared" si="3"/>
        <v>0.83617060851820524</v>
      </c>
      <c r="M39" s="11">
        <f t="shared" si="3"/>
        <v>12.139539573337679</v>
      </c>
      <c r="N39" s="11">
        <f t="shared" si="3"/>
        <v>8.0178893549114552</v>
      </c>
      <c r="O39" s="11">
        <f t="shared" si="3"/>
        <v>7.4852681826426144</v>
      </c>
      <c r="P39" s="11">
        <f t="shared" si="3"/>
        <v>0.66462284174363251</v>
      </c>
      <c r="Q39" s="11">
        <f t="shared" si="3"/>
        <v>0.68540905673089381</v>
      </c>
      <c r="R39" s="11">
        <f t="shared" si="3"/>
        <v>0.74600952703363632</v>
      </c>
      <c r="S39" s="11">
        <f t="shared" si="3"/>
        <v>0.54916964736527396</v>
      </c>
      <c r="T39" s="11">
        <f t="shared" si="3"/>
        <v>0.65765843709561445</v>
      </c>
      <c r="U39" s="11">
        <f t="shared" si="3"/>
        <v>0.59409915095848331</v>
      </c>
      <c r="V39" s="11">
        <f t="shared" si="3"/>
        <v>0.73333333333333339</v>
      </c>
      <c r="X39" s="5" t="s">
        <v>14</v>
      </c>
      <c r="Y39" s="4">
        <f t="shared" si="3"/>
        <v>3.3869394158792177E-4</v>
      </c>
      <c r="Z39" s="4">
        <f t="shared" si="3"/>
        <v>1.7709964071187397E-4</v>
      </c>
      <c r="AA39" s="4">
        <f t="shared" si="3"/>
        <v>7.1018464532756611E-4</v>
      </c>
      <c r="AB39" s="4">
        <f t="shared" si="3"/>
        <v>3.0821466971628038E-4</v>
      </c>
      <c r="AC39" s="4">
        <f t="shared" si="3"/>
        <v>9.8626226729375929E-4</v>
      </c>
      <c r="AD39" s="4">
        <f t="shared" si="3"/>
        <v>1.5427018006900644E-3</v>
      </c>
      <c r="AE39" s="4">
        <f t="shared" si="3"/>
        <v>4.689594828438919E-4</v>
      </c>
      <c r="AF39" s="4">
        <f t="shared" si="3"/>
        <v>1.0255984821895671E-3</v>
      </c>
      <c r="AG39" s="4">
        <f t="shared" si="3"/>
        <v>1.2794313005560494E-3</v>
      </c>
    </row>
    <row r="40" spans="1:33">
      <c r="E40" s="5" t="s">
        <v>18</v>
      </c>
      <c r="F40" s="5" t="s">
        <v>19</v>
      </c>
      <c r="G40" s="5" t="s">
        <v>20</v>
      </c>
      <c r="H40" s="5" t="s">
        <v>21</v>
      </c>
      <c r="I40" s="5" t="s">
        <v>50</v>
      </c>
      <c r="J40" s="5" t="s">
        <v>49</v>
      </c>
      <c r="K40" s="5" t="s">
        <v>22</v>
      </c>
      <c r="L40" s="5" t="s">
        <v>23</v>
      </c>
      <c r="M40" s="5" t="s">
        <v>24</v>
      </c>
      <c r="N40" s="5" t="s">
        <v>25</v>
      </c>
      <c r="O40" s="5" t="s">
        <v>26</v>
      </c>
      <c r="P40" s="5" t="s">
        <v>27</v>
      </c>
      <c r="Q40" s="5" t="s">
        <v>47</v>
      </c>
      <c r="R40" s="5" t="s">
        <v>48</v>
      </c>
      <c r="S40" s="5" t="s">
        <v>28</v>
      </c>
      <c r="T40" s="5" t="s">
        <v>29</v>
      </c>
      <c r="U40" s="5" t="s">
        <v>3</v>
      </c>
      <c r="V40" s="5" t="s">
        <v>4</v>
      </c>
      <c r="Y40" s="5" t="s">
        <v>5</v>
      </c>
      <c r="Z40" s="5" t="s">
        <v>6</v>
      </c>
      <c r="AA40" s="5" t="s">
        <v>7</v>
      </c>
      <c r="AB40" s="5" t="s">
        <v>8</v>
      </c>
      <c r="AC40" s="5" t="s">
        <v>9</v>
      </c>
      <c r="AD40" s="5" t="s">
        <v>10</v>
      </c>
      <c r="AE40" s="5" t="s">
        <v>15</v>
      </c>
      <c r="AF40" s="5" t="s">
        <v>16</v>
      </c>
      <c r="AG40" s="5" t="s">
        <v>17</v>
      </c>
    </row>
    <row r="46" spans="1:33">
      <c r="A46" s="5"/>
    </row>
    <row r="47" spans="1:33">
      <c r="A47" s="5"/>
    </row>
    <row r="48" spans="1:33">
      <c r="A48" s="5"/>
    </row>
    <row r="49" spans="1:1">
      <c r="A49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632D-2EFA-C942-B725-D4C59920CB22}">
  <dimension ref="A1:B17"/>
  <sheetViews>
    <sheetView workbookViewId="0">
      <selection activeCell="C22" sqref="C22"/>
    </sheetView>
  </sheetViews>
  <sheetFormatPr defaultColWidth="11.42578125" defaultRowHeight="15"/>
  <cols>
    <col min="2" max="2" width="33.28515625" customWidth="1"/>
  </cols>
  <sheetData>
    <row r="1" spans="1:2">
      <c r="A1" s="8" t="s">
        <v>37</v>
      </c>
      <c r="B1" s="8"/>
    </row>
    <row r="2" spans="1:2" ht="17.100000000000001" customHeight="1">
      <c r="A2" s="8" t="s">
        <v>38</v>
      </c>
      <c r="B2" s="9"/>
    </row>
    <row r="3" spans="1:2">
      <c r="A3" s="8" t="s">
        <v>39</v>
      </c>
      <c r="B3" s="9"/>
    </row>
    <row r="4" spans="1:2">
      <c r="B4" s="10"/>
    </row>
    <row r="5" spans="1:2">
      <c r="B5" s="9"/>
    </row>
    <row r="6" spans="1:2" ht="15" customHeight="1">
      <c r="B6" s="9"/>
    </row>
    <row r="7" spans="1:2" ht="18" customHeight="1">
      <c r="B7" s="9"/>
    </row>
    <row r="8" spans="1:2">
      <c r="B8" s="9"/>
    </row>
    <row r="10" spans="1:2">
      <c r="A10" t="s">
        <v>51</v>
      </c>
    </row>
    <row r="12" spans="1:2">
      <c r="B12" t="s">
        <v>52</v>
      </c>
    </row>
    <row r="13" spans="1:2">
      <c r="B13" t="s">
        <v>53</v>
      </c>
    </row>
    <row r="14" spans="1:2">
      <c r="B14" t="s">
        <v>54</v>
      </c>
    </row>
    <row r="15" spans="1:2">
      <c r="B15" t="s">
        <v>55</v>
      </c>
    </row>
    <row r="16" spans="1:2">
      <c r="B16" t="s">
        <v>56</v>
      </c>
    </row>
    <row r="17" spans="2:2">
      <c r="B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 &amp; Behavior</vt:lpstr>
      <vt:lpstr>Demographics, Behavior, Neural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Jaiswal, Satish</cp:lastModifiedBy>
  <dcterms:modified xsi:type="dcterms:W3CDTF">2024-02-14T22:26:11Z</dcterms:modified>
</cp:coreProperties>
</file>